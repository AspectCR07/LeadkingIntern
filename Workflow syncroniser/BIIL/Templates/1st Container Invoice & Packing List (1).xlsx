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LKSRV\Seadept\SEA_LEADKING BILL_COPY\SEA EXPORT - BILL COPY\2026\PEMI EXPORTS\2603SX869_WIDMANN 1X40 FCL\"/>
    </mc:Choice>
  </mc:AlternateContent>
  <bookViews>
    <workbookView xWindow="-120" yWindow="-120" windowWidth="24240" windowHeight="13140" activeTab="1"/>
  </bookViews>
  <sheets>
    <sheet name="Invoice" sheetId="1" r:id="rId1"/>
    <sheet name="Packing List" sheetId="2" r:id="rId2"/>
    <sheet name="Sheet1" sheetId="3" r:id="rId3"/>
  </sheets>
  <definedNames>
    <definedName name="_xlnm.Print_Area" localSheetId="1">'Packing List'!$A$1:$R$50</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F37" i="3" l="1"/>
  <c r="G37" i="3" s="1"/>
  <c r="B37" i="3"/>
  <c r="G36" i="3"/>
  <c r="F36" i="3"/>
  <c r="B36" i="3"/>
  <c r="G35" i="3"/>
  <c r="F35" i="3"/>
  <c r="B35" i="3"/>
  <c r="F34" i="3"/>
  <c r="G34" i="3" s="1"/>
  <c r="B34" i="3"/>
  <c r="G32" i="3"/>
  <c r="F32" i="3"/>
  <c r="B32" i="3"/>
  <c r="F31" i="3"/>
  <c r="G31" i="3" s="1"/>
  <c r="B31" i="3"/>
  <c r="G30" i="3"/>
  <c r="F30" i="3"/>
  <c r="B30" i="3"/>
  <c r="F28" i="3"/>
  <c r="G28" i="3" s="1"/>
  <c r="B28" i="3"/>
  <c r="G27" i="3"/>
  <c r="F27" i="3"/>
  <c r="B27" i="3"/>
  <c r="F25" i="3"/>
  <c r="G25" i="3" s="1"/>
  <c r="B25" i="3"/>
  <c r="G24" i="3"/>
  <c r="F24" i="3"/>
  <c r="B24" i="3"/>
  <c r="F22" i="3"/>
  <c r="G22" i="3" s="1"/>
  <c r="B22" i="3"/>
  <c r="G21" i="3"/>
  <c r="F21" i="3"/>
  <c r="B21" i="3"/>
  <c r="F20" i="3"/>
  <c r="G20" i="3" s="1"/>
  <c r="B20" i="3"/>
  <c r="G18" i="3"/>
  <c r="F18" i="3"/>
  <c r="B18" i="3"/>
  <c r="F17" i="3"/>
  <c r="G17" i="3" s="1"/>
  <c r="B17" i="3"/>
  <c r="G16" i="3"/>
  <c r="F16" i="3"/>
  <c r="B16" i="3"/>
  <c r="F14" i="3"/>
  <c r="G14" i="3" s="1"/>
  <c r="B14" i="3"/>
  <c r="G13" i="3"/>
  <c r="F13" i="3"/>
  <c r="B13" i="3"/>
  <c r="F12" i="3"/>
  <c r="G12" i="3" s="1"/>
  <c r="B12" i="3"/>
  <c r="G10" i="3"/>
  <c r="F10" i="3"/>
  <c r="B10" i="3"/>
  <c r="F9" i="3"/>
  <c r="G9" i="3" s="1"/>
  <c r="B9" i="3"/>
  <c r="G7" i="3"/>
  <c r="F7" i="3"/>
  <c r="B7" i="3"/>
  <c r="F6" i="3"/>
  <c r="G6" i="3" s="1"/>
  <c r="B6" i="3"/>
  <c r="G5" i="3"/>
  <c r="F5" i="3"/>
  <c r="B5" i="3"/>
  <c r="F4" i="3"/>
  <c r="G4" i="3" s="1"/>
  <c r="B4" i="3"/>
  <c r="G1" i="3"/>
  <c r="G39" i="3" s="1"/>
  <c r="F1" i="3"/>
  <c r="B1" i="3"/>
  <c r="B39" i="3" s="1"/>
  <c r="G67" i="1" l="1"/>
  <c r="G66" i="1"/>
  <c r="G28" i="1"/>
  <c r="G29" i="1"/>
  <c r="G30" i="1"/>
  <c r="G31" i="1"/>
  <c r="G33" i="1"/>
  <c r="G34" i="1"/>
  <c r="G36" i="1"/>
  <c r="G37" i="1"/>
  <c r="G38" i="1"/>
  <c r="G40" i="1"/>
  <c r="G41" i="1"/>
  <c r="G43" i="1"/>
  <c r="G44" i="1"/>
  <c r="G45" i="1"/>
  <c r="G47" i="1"/>
  <c r="G48" i="1"/>
  <c r="G49" i="1"/>
  <c r="G51" i="1"/>
  <c r="G52" i="1"/>
  <c r="G54" i="1"/>
  <c r="G55" i="1"/>
  <c r="G56" i="1"/>
  <c r="G58" i="1"/>
  <c r="G59" i="1"/>
  <c r="G60" i="1"/>
  <c r="G61" i="1"/>
  <c r="G25" i="1"/>
  <c r="E62" i="1"/>
  <c r="Q12" i="2"/>
  <c r="R12" i="2"/>
  <c r="Q15" i="2"/>
  <c r="R15" i="2" s="1"/>
  <c r="F15" i="2"/>
  <c r="Q16" i="2"/>
  <c r="R16" i="2" s="1"/>
  <c r="F16" i="2"/>
  <c r="M16" i="2" s="1"/>
  <c r="M50" i="2" s="1"/>
  <c r="Q17" i="2"/>
  <c r="F17" i="2"/>
  <c r="R17" i="2"/>
  <c r="Q18" i="2"/>
  <c r="F18" i="2"/>
  <c r="R18" i="2"/>
  <c r="Q20" i="2"/>
  <c r="R20" i="2" s="1"/>
  <c r="Q21" i="2"/>
  <c r="R21" i="2"/>
  <c r="Q23" i="2"/>
  <c r="R23" i="2" s="1"/>
  <c r="F23" i="2"/>
  <c r="Q24" i="2"/>
  <c r="R24" i="2" s="1"/>
  <c r="F24" i="2"/>
  <c r="M24" i="2" s="1"/>
  <c r="Q25" i="2"/>
  <c r="F25" i="2"/>
  <c r="M25" i="2" s="1"/>
  <c r="R25" i="2"/>
  <c r="Q27" i="2"/>
  <c r="F27" i="2"/>
  <c r="R27" i="2"/>
  <c r="Q28" i="2"/>
  <c r="R28" i="2" s="1"/>
  <c r="F28" i="2"/>
  <c r="Q29" i="2"/>
  <c r="R29" i="2" s="1"/>
  <c r="F29" i="2"/>
  <c r="M29" i="2" s="1"/>
  <c r="Q31" i="2"/>
  <c r="F31" i="2"/>
  <c r="M31" i="2" s="1"/>
  <c r="R31" i="2"/>
  <c r="Q32" i="2"/>
  <c r="F32" i="2"/>
  <c r="R32" i="2"/>
  <c r="Q33" i="2"/>
  <c r="R33" i="2" s="1"/>
  <c r="F33" i="2"/>
  <c r="Q35" i="2"/>
  <c r="R35" i="2"/>
  <c r="Q36" i="2"/>
  <c r="R36" i="2"/>
  <c r="Q38" i="2"/>
  <c r="R38" i="2"/>
  <c r="Q39" i="2"/>
  <c r="R39" i="2"/>
  <c r="Q41" i="2"/>
  <c r="R41" i="2" s="1"/>
  <c r="F41" i="2"/>
  <c r="M41" i="2" s="1"/>
  <c r="Q42" i="2"/>
  <c r="F42" i="2"/>
  <c r="M42" i="2" s="1"/>
  <c r="R42" i="2"/>
  <c r="Q43" i="2"/>
  <c r="F43" i="2"/>
  <c r="R43" i="2"/>
  <c r="Q45" i="2"/>
  <c r="R45" i="2" s="1"/>
  <c r="F45" i="2"/>
  <c r="Q46" i="2"/>
  <c r="R46" i="2" s="1"/>
  <c r="F46" i="2"/>
  <c r="M46" i="2" s="1"/>
  <c r="Q47" i="2"/>
  <c r="F47" i="2"/>
  <c r="M47" i="2" s="1"/>
  <c r="R47" i="2"/>
  <c r="Q48" i="2"/>
  <c r="F48" i="2"/>
  <c r="R48" i="2"/>
  <c r="M12" i="2"/>
  <c r="M15" i="2"/>
  <c r="M17" i="2"/>
  <c r="M18" i="2"/>
  <c r="M20" i="2"/>
  <c r="M21" i="2"/>
  <c r="M23" i="2"/>
  <c r="M27" i="2"/>
  <c r="M28" i="2"/>
  <c r="M32" i="2"/>
  <c r="M33" i="2"/>
  <c r="M35" i="2"/>
  <c r="M36" i="2"/>
  <c r="M38" i="2"/>
  <c r="M39" i="2"/>
  <c r="M43" i="2"/>
  <c r="M45" i="2"/>
  <c r="M48" i="2"/>
  <c r="K12" i="2"/>
  <c r="K15" i="2"/>
  <c r="K17" i="2"/>
  <c r="K18" i="2"/>
  <c r="K20" i="2"/>
  <c r="K21" i="2"/>
  <c r="K23" i="2"/>
  <c r="K27" i="2"/>
  <c r="K28" i="2"/>
  <c r="K32" i="2"/>
  <c r="K33" i="2"/>
  <c r="K35" i="2"/>
  <c r="K36" i="2"/>
  <c r="K38" i="2"/>
  <c r="K39" i="2"/>
  <c r="K43" i="2"/>
  <c r="K45" i="2"/>
  <c r="K48" i="2"/>
  <c r="I50" i="2"/>
  <c r="G62" i="1" l="1"/>
  <c r="R50" i="2"/>
  <c r="K16" i="2"/>
  <c r="F50" i="2"/>
  <c r="K47" i="2"/>
  <c r="K42" i="2"/>
  <c r="K31" i="2"/>
  <c r="K25" i="2"/>
  <c r="K46" i="2"/>
  <c r="K41" i="2"/>
  <c r="K29" i="2"/>
  <c r="K24" i="2"/>
  <c r="K50" i="2" l="1"/>
</calcChain>
</file>

<file path=xl/sharedStrings.xml><?xml version="1.0" encoding="utf-8"?>
<sst xmlns="http://schemas.openxmlformats.org/spreadsheetml/2006/main" count="290" uniqueCount="165">
  <si>
    <t>REX NO.INREX0496004662TC005</t>
    <phoneticPr fontId="0" type="noConversion"/>
  </si>
  <si>
    <t>CHENNAI</t>
  </si>
  <si>
    <t>PORT OF DISCHARGE</t>
  </si>
  <si>
    <t>FINAL DESTINATION</t>
  </si>
  <si>
    <t>GENOA</t>
    <phoneticPr fontId="0" type="noConversion"/>
  </si>
  <si>
    <t>MARKS&amp;NOS</t>
  </si>
  <si>
    <t>DESCRIPTION OF GOODS</t>
  </si>
  <si>
    <t>size</t>
  </si>
  <si>
    <t>RATE</t>
  </si>
  <si>
    <t>AMOUNT</t>
  </si>
  <si>
    <t>WIDMANN</t>
    <phoneticPr fontId="0" type="noConversion"/>
  </si>
  <si>
    <t>ARTICLE NO:</t>
  </si>
  <si>
    <t>USD</t>
    <phoneticPr fontId="0" type="noConversion"/>
  </si>
  <si>
    <t>TOTAL</t>
  </si>
  <si>
    <t>FROM FILAMENT YARN</t>
  </si>
  <si>
    <t xml:space="preserve">AMOUNT CHARGEABLE </t>
  </si>
  <si>
    <t>DECLARATION</t>
  </si>
  <si>
    <t>THE ABOVE INVOICE SHOWS ACTUAL VALUE OF GOODS</t>
  </si>
  <si>
    <t>DESCRIBED AND ALL THE PARTICULARS ARE CORRECT</t>
  </si>
  <si>
    <t>The exporter REX NO.INREX0496004662TC005 of the products covered by this document delares that, except where otherwise clarly indicated, these products are of INDIAN preferential origin according to rules of origin of the Generalized Syayem of Preferences of the EUROPEAN UNION and that the origin criterion met is origin criteria " p"6211</t>
  </si>
  <si>
    <t>XXXL</t>
  </si>
  <si>
    <t>POLICE OFFICER (shirt, hat)</t>
  </si>
  <si>
    <t>LEOPARD ANIMALIER PARTY FASHION SHIRT"</t>
  </si>
  <si>
    <t>LEOPARD ANIMALIER PARTY FASHION SHIRT</t>
  </si>
  <si>
    <t>1 to 10</t>
  </si>
  <si>
    <t>11 to 18</t>
  </si>
  <si>
    <t>19 to 30</t>
  </si>
  <si>
    <t>31 to 36</t>
  </si>
  <si>
    <t>37 to 42</t>
  </si>
  <si>
    <t>43 to 56</t>
  </si>
  <si>
    <t>57 to 67</t>
  </si>
  <si>
    <t>68 to 103</t>
  </si>
  <si>
    <t>104 to 303</t>
  </si>
  <si>
    <t>304 to 403</t>
  </si>
  <si>
    <t>404 to 409</t>
  </si>
  <si>
    <t>410 to 413</t>
  </si>
  <si>
    <t>414 to 419</t>
  </si>
  <si>
    <t>100% POLYESTER OVEN MENS HAT</t>
  </si>
  <si>
    <t>100% POLYSTER KNITTED MENS ENSEMBLES</t>
  </si>
  <si>
    <t>100% POLYSTER WOVEN MENS ENSEMBLES</t>
  </si>
  <si>
    <t>100% POLYESTER KNITTED MENS OVERCOAT</t>
  </si>
  <si>
    <t>100% POLYESTER WOVEN CHILD SUIT</t>
  </si>
  <si>
    <t>100% POLYSTER KNITTED BOYS ENSEMBLES</t>
  </si>
  <si>
    <t>100% POLYSTER WOVEN WOMENS ENSEMBLES</t>
  </si>
  <si>
    <t>100% POLYESTER WOVEN MENS SHIRT</t>
    <phoneticPr fontId="8" type="noConversion"/>
  </si>
  <si>
    <t>ZS0002 &amp; ZS0003</t>
  </si>
  <si>
    <t>USD SIXTY FOUR THOUSAND ONE HUNDRED AND FOURTY ONE AND CENTS TWENTY ONLY</t>
  </si>
  <si>
    <t>420 to 422</t>
  </si>
  <si>
    <t>423 to 427</t>
  </si>
  <si>
    <t>428 to 430</t>
  </si>
  <si>
    <t>431 to 444</t>
  </si>
  <si>
    <t>445 to 451</t>
  </si>
  <si>
    <t>452 to 458</t>
  </si>
  <si>
    <t>459 to 464</t>
  </si>
  <si>
    <t>489 to 718</t>
  </si>
  <si>
    <t>719 to 838</t>
  </si>
  <si>
    <t>839 to 841</t>
  </si>
  <si>
    <t>842 to 846</t>
  </si>
  <si>
    <t>847 to 851</t>
  </si>
  <si>
    <t>852 to 855</t>
  </si>
  <si>
    <t xml:space="preserve"> </t>
  </si>
  <si>
    <t>PACKING LIST</t>
  </si>
  <si>
    <t>TO</t>
  </si>
  <si>
    <t>WIDMANN S.R.L</t>
    <phoneticPr fontId="0" type="noConversion"/>
  </si>
  <si>
    <t xml:space="preserve">Date: </t>
  </si>
  <si>
    <t>CLAUDIO WIDMANN</t>
    <phoneticPr fontId="0" type="noConversion"/>
  </si>
  <si>
    <t xml:space="preserve">                                                                            </t>
  </si>
  <si>
    <t xml:space="preserve">Invoice no - </t>
  </si>
  <si>
    <t>VIALE DELL'INDUSTRIA 3/C</t>
    <phoneticPr fontId="0" type="noConversion"/>
  </si>
  <si>
    <t>I-20020 BUSTO GAROLFO (ML)</t>
    <phoneticPr fontId="0" type="noConversion"/>
  </si>
  <si>
    <t>Tel: 39.0331.56001</t>
    <phoneticPr fontId="0" type="noConversion"/>
  </si>
  <si>
    <t>Fax: 39.0331.560086</t>
    <phoneticPr fontId="0" type="noConversion"/>
  </si>
  <si>
    <t>From Chennai to genoba</t>
    <phoneticPr fontId="0" type="noConversion"/>
  </si>
  <si>
    <t>Item No</t>
  </si>
  <si>
    <t>SIZE</t>
  </si>
  <si>
    <t>P.O.  No</t>
  </si>
  <si>
    <t>description</t>
    <phoneticPr fontId="0" type="noConversion"/>
  </si>
  <si>
    <t>CTN NO</t>
  </si>
  <si>
    <t>ctns</t>
  </si>
  <si>
    <t>packs</t>
  </si>
  <si>
    <t>pcs outer</t>
  </si>
  <si>
    <t xml:space="preserve"> net weight per ctn</t>
  </si>
  <si>
    <t xml:space="preserve">total net weight </t>
    <phoneticPr fontId="0" type="noConversion"/>
  </si>
  <si>
    <t xml:space="preserve"> gross weight per ctn</t>
    <phoneticPr fontId="0" type="noConversion"/>
  </si>
  <si>
    <t xml:space="preserve"> total gross weight</t>
    <phoneticPr fontId="0" type="noConversion"/>
  </si>
  <si>
    <t>carton length cms</t>
    <phoneticPr fontId="0" type="noConversion"/>
  </si>
  <si>
    <t>carton width cms</t>
    <phoneticPr fontId="0" type="noConversion"/>
  </si>
  <si>
    <t>carton height cms</t>
    <phoneticPr fontId="0" type="noConversion"/>
  </si>
  <si>
    <t>cbm / ctn</t>
    <phoneticPr fontId="0" type="noConversion"/>
  </si>
  <si>
    <t>total cbm</t>
    <phoneticPr fontId="0" type="noConversion"/>
  </si>
  <si>
    <t>00078</t>
  </si>
  <si>
    <t>ZS0002</t>
  </si>
  <si>
    <t>MITRE"</t>
  </si>
  <si>
    <t>02632</t>
  </si>
  <si>
    <t>M</t>
  </si>
  <si>
    <t>BISHOP (robe with tippet, belt, hat)</t>
  </si>
  <si>
    <t>02633</t>
  </si>
  <si>
    <t>L</t>
  </si>
  <si>
    <t>02634</t>
  </si>
  <si>
    <t>XL</t>
  </si>
  <si>
    <t>02635</t>
  </si>
  <si>
    <t>07151</t>
  </si>
  <si>
    <t>M/L</t>
  </si>
  <si>
    <t>VAMPIRE (shirt with vest, jabot with medallion,</t>
  </si>
  <si>
    <t>07152</t>
  </si>
  <si>
    <t>S/M</t>
  </si>
  <si>
    <t>L/XL</t>
  </si>
  <si>
    <t>SAINT NICHOLAS (robe, belt, stole, cape, mitre)</t>
  </si>
  <si>
    <t>1550P</t>
  </si>
  <si>
    <t>XXL/XXXL</t>
  </si>
  <si>
    <t>116 CM</t>
  </si>
  <si>
    <t>EVIL CLOWN PARTY FASHION SUIT (jacket,</t>
  </si>
  <si>
    <t>128 CM</t>
  </si>
  <si>
    <t>164 CM</t>
  </si>
  <si>
    <t>MESSIAH (gown, toga, headpiece)</t>
  </si>
  <si>
    <t>140 CM</t>
  </si>
  <si>
    <t>158 CM</t>
  </si>
  <si>
    <t xml:space="preserve">ZS0003 </t>
  </si>
  <si>
    <t>"SAINT NICHOLAS" (robe, belt, stole, cape, mitre)</t>
  </si>
  <si>
    <t>116 cm</t>
  </si>
  <si>
    <t>"MESSIAH" (gown, toga, headpiece</t>
  </si>
  <si>
    <t>128 cm</t>
  </si>
  <si>
    <t>140 cm</t>
  </si>
  <si>
    <t>158 cm</t>
  </si>
  <si>
    <t xml:space="preserve"> INVOICE</t>
    <phoneticPr fontId="0" type="noConversion"/>
  </si>
  <si>
    <t>EXPORTER</t>
  </si>
  <si>
    <t>INVOICE NO&amp;DATE</t>
  </si>
  <si>
    <t>PEMI EXPORTS</t>
    <phoneticPr fontId="0" type="noConversion"/>
  </si>
  <si>
    <t>198/4,Lakshmi Nagar,Arikambedu village,Vellanoor,</t>
  </si>
  <si>
    <t>BUYERS ORDER NO&amp;DATE</t>
  </si>
  <si>
    <t>CHENNAI-600 062, INDIA</t>
  </si>
  <si>
    <t>GST NO.33AAAFP8638F1ZA</t>
    <phoneticPr fontId="0" type="noConversion"/>
  </si>
  <si>
    <t>CONSIGNEE</t>
  </si>
  <si>
    <t>OTHER REFERENCES</t>
  </si>
  <si>
    <t>BUYER OTHER THAN CONSIGNEE</t>
  </si>
  <si>
    <t>VIALE DELL'INDUSTRIA 3/C</t>
  </si>
  <si>
    <t>ORIGIN OF GOODS    FINAL DESTINATION</t>
  </si>
  <si>
    <t>I-20020 BUSTO GAROLFO (ML)</t>
  </si>
  <si>
    <t>PRE-CARRIGE BY</t>
  </si>
  <si>
    <t>PLACE OF RECIEPT OF PRE-CARRIER</t>
  </si>
  <si>
    <t>TERMS OF DELIVERY &amp; PAYMENT</t>
  </si>
  <si>
    <t>VESSEL NO</t>
  </si>
  <si>
    <t>PORT OF LOADING</t>
  </si>
  <si>
    <t>FOB CHENNAI</t>
  </si>
  <si>
    <t>465 to 488</t>
  </si>
  <si>
    <t>PE/044-25-26</t>
  </si>
  <si>
    <t>30.03.2026</t>
  </si>
  <si>
    <t>BY SEA</t>
  </si>
  <si>
    <t>ITALY</t>
  </si>
  <si>
    <t>NO OF PKGS</t>
  </si>
  <si>
    <t>CTNS</t>
  </si>
  <si>
    <t>01 to 855</t>
  </si>
  <si>
    <t>CARTONS</t>
  </si>
  <si>
    <t>PCS</t>
  </si>
  <si>
    <t>Total Qty PCS</t>
  </si>
  <si>
    <t>No of ctns</t>
  </si>
  <si>
    <t>Gross Weight</t>
  </si>
  <si>
    <t>Net Weight</t>
  </si>
  <si>
    <t>855 ctns</t>
  </si>
  <si>
    <t>8991.140KGS</t>
  </si>
  <si>
    <t>7440.940KGS</t>
  </si>
  <si>
    <t>IGST</t>
  </si>
  <si>
    <t>EX.RATE</t>
  </si>
  <si>
    <t>TAXABLE VALUE</t>
  </si>
  <si>
    <t>IGST PAID AMOUNT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</si>
</sst>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 #,##0.00_ ;_ * \-#,##0.00_ ;_ * &quot;-&quot;??_ ;_ @_ "/>
    <numFmt numFmtId="164" formatCode="_(* #,##0_);_(* \(#,##0\);_(* &quot;-&quot;??_);_(@_)"/>
    <numFmt numFmtId="165" formatCode="&quot;$&quot;#,##0.00"/>
  </numFmts>
  <fonts count="16">
    <font>
      <sz val="11"/>
      <color theme="1"/>
      <name val="Calibri"/>
      <family val="2"/>
      <scheme val="minor"/>
    </font>
    <font>
      <sz val="11"/>
      <color theme="1"/>
      <name val="Calibri"/>
      <family val="2"/>
      <scheme val="minor"/>
    </font>
    <font>
      <sz val="10"/>
      <color theme="1"/>
      <name val="Calibri"/>
      <family val="2"/>
      <scheme val="minor"/>
    </font>
    <font>
      <sz val="10"/>
      <name val="Calibri"/>
      <family val="2"/>
      <scheme val="minor"/>
    </font>
    <font>
      <b/>
      <sz val="10"/>
      <color theme="1"/>
      <name val="Calibri"/>
      <family val="2"/>
      <scheme val="minor"/>
    </font>
    <font>
      <sz val="10"/>
      <color rgb="FFFF0000"/>
      <name val="Calibri"/>
      <family val="2"/>
      <scheme val="minor"/>
    </font>
    <font>
      <sz val="10"/>
      <color indexed="8"/>
      <name val="Calibri"/>
      <family val="2"/>
      <scheme val="minor"/>
    </font>
    <font>
      <b/>
      <sz val="10"/>
      <color theme="9" tint="-0.499984740745262"/>
      <name val="Calibri"/>
      <family val="2"/>
      <scheme val="minor"/>
    </font>
    <font>
      <b/>
      <sz val="11"/>
      <name val="Calibri"/>
      <family val="2"/>
      <scheme val="minor"/>
    </font>
    <font>
      <u/>
      <sz val="10"/>
      <name val="Calibri"/>
      <family val="2"/>
      <scheme val="minor"/>
    </font>
    <font>
      <sz val="10"/>
      <name val="ariel"/>
    </font>
    <font>
      <b/>
      <sz val="10"/>
      <name val="Calibri"/>
      <family val="2"/>
      <scheme val="minor"/>
    </font>
    <font>
      <sz val="10"/>
      <color indexed="10"/>
      <name val="Calibri"/>
      <family val="2"/>
      <scheme val="minor"/>
    </font>
    <font>
      <sz val="11"/>
      <color indexed="10"/>
      <name val="Calibri"/>
      <family val="2"/>
      <scheme val="minor"/>
    </font>
    <font>
      <sz val="8"/>
      <name val="ariel"/>
    </font>
    <font>
      <sz val="14"/>
      <name val="Calibri"/>
      <family val="2"/>
      <scheme val="minor"/>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48">
    <border>
      <left/>
      <right/>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dotted">
        <color indexed="64"/>
      </left>
      <right style="thin">
        <color indexed="64"/>
      </right>
      <top style="medium">
        <color indexed="64"/>
      </top>
      <bottom/>
      <diagonal/>
    </border>
    <border>
      <left/>
      <right style="dashed">
        <color indexed="64"/>
      </right>
      <top style="medium">
        <color indexed="64"/>
      </top>
      <bottom/>
      <diagonal/>
    </border>
    <border>
      <left style="dashed">
        <color indexed="64"/>
      </left>
      <right style="dashed">
        <color indexed="64"/>
      </right>
      <top style="medium">
        <color indexed="64"/>
      </top>
      <bottom/>
      <diagonal/>
    </border>
    <border>
      <left style="dashed">
        <color indexed="64"/>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0" fontId="10" fillId="0" borderId="0"/>
  </cellStyleXfs>
  <cellXfs count="147">
    <xf numFmtId="0" fontId="0" fillId="0" borderId="0" xfId="0"/>
    <xf numFmtId="14" fontId="2" fillId="0" borderId="0" xfId="0" applyNumberFormat="1"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left"/>
    </xf>
    <xf numFmtId="14" fontId="2" fillId="0" borderId="0" xfId="0" applyNumberFormat="1" applyFont="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164" fontId="5" fillId="0" borderId="3" xfId="1" applyNumberFormat="1" applyFont="1" applyFill="1" applyBorder="1" applyAlignment="1">
      <alignment horizontal="center" vertical="center" wrapText="1"/>
    </xf>
    <xf numFmtId="165" fontId="5" fillId="0" borderId="1" xfId="1" applyNumberFormat="1" applyFont="1" applyFill="1" applyBorder="1" applyAlignment="1">
      <alignment horizontal="center" vertical="center" wrapText="1"/>
    </xf>
    <xf numFmtId="165" fontId="5" fillId="0" borderId="6" xfId="1" applyNumberFormat="1" applyFont="1" applyFill="1" applyBorder="1" applyAlignment="1">
      <alignment horizontal="center" vertical="center" wrapText="1"/>
    </xf>
    <xf numFmtId="165" fontId="5" fillId="0" borderId="3" xfId="1" applyNumberFormat="1" applyFont="1" applyFill="1" applyBorder="1" applyAlignment="1">
      <alignment horizontal="center" vertical="center" wrapText="1"/>
    </xf>
    <xf numFmtId="165" fontId="5" fillId="0" borderId="7" xfId="1" applyNumberFormat="1" applyFont="1" applyFill="1" applyBorder="1" applyAlignment="1">
      <alignment horizontal="center" vertical="center" wrapText="1"/>
    </xf>
    <xf numFmtId="164" fontId="5" fillId="0" borderId="8" xfId="1" applyNumberFormat="1" applyFont="1" applyFill="1" applyBorder="1" applyAlignment="1">
      <alignment horizontal="center" vertical="center" wrapText="1"/>
    </xf>
    <xf numFmtId="164" fontId="5" fillId="0" borderId="9" xfId="1" applyNumberFormat="1" applyFont="1" applyFill="1" applyBorder="1" applyAlignment="1">
      <alignment horizontal="center" vertical="center" wrapText="1"/>
    </xf>
    <xf numFmtId="164" fontId="5" fillId="0" borderId="10" xfId="1" applyNumberFormat="1" applyFont="1" applyFill="1" applyBorder="1" applyAlignment="1">
      <alignment horizontal="center" vertical="center" wrapText="1"/>
    </xf>
    <xf numFmtId="165" fontId="5" fillId="0" borderId="11" xfId="0" applyNumberFormat="1" applyFont="1" applyBorder="1" applyAlignment="1">
      <alignment horizontal="center" vertical="center" wrapText="1"/>
    </xf>
    <xf numFmtId="0" fontId="3" fillId="0" borderId="12" xfId="0" quotePrefix="1" applyFont="1" applyBorder="1" applyAlignment="1">
      <alignment horizontal="left" vertical="center"/>
    </xf>
    <xf numFmtId="0" fontId="3" fillId="0" borderId="12" xfId="0" applyFont="1" applyBorder="1" applyAlignment="1">
      <alignment horizontal="center"/>
    </xf>
    <xf numFmtId="0" fontId="2" fillId="0" borderId="12" xfId="0" applyFont="1" applyBorder="1"/>
    <xf numFmtId="0" fontId="3" fillId="0" borderId="12" xfId="0" applyFont="1" applyBorder="1" applyAlignment="1">
      <alignment horizontal="left"/>
    </xf>
    <xf numFmtId="0" fontId="2" fillId="0" borderId="12" xfId="0" applyFont="1" applyBorder="1" applyAlignment="1">
      <alignment horizontal="center" vertical="center"/>
    </xf>
    <xf numFmtId="0" fontId="2" fillId="0" borderId="12" xfId="0" applyFont="1" applyBorder="1" applyAlignment="1">
      <alignment horizontal="left" vertical="center"/>
    </xf>
    <xf numFmtId="0" fontId="6" fillId="0" borderId="12" xfId="0" applyFont="1" applyBorder="1" applyAlignment="1">
      <alignment horizontal="center" vertical="center"/>
    </xf>
    <xf numFmtId="0" fontId="3" fillId="0" borderId="12" xfId="0" applyFont="1" applyBorder="1" applyAlignment="1">
      <alignment horizontal="center" vertical="center"/>
    </xf>
    <xf numFmtId="2" fontId="3" fillId="0" borderId="12" xfId="0" applyNumberFormat="1" applyFont="1" applyBorder="1" applyAlignment="1">
      <alignment horizontal="center"/>
    </xf>
    <xf numFmtId="2" fontId="3" fillId="0" borderId="12" xfId="0" applyNumberFormat="1" applyFont="1" applyBorder="1" applyAlignment="1">
      <alignment horizontal="center" vertical="center"/>
    </xf>
    <xf numFmtId="49" fontId="2" fillId="0" borderId="12" xfId="0" quotePrefix="1" applyNumberFormat="1" applyFont="1" applyBorder="1" applyAlignment="1">
      <alignment horizontal="left"/>
    </xf>
    <xf numFmtId="0" fontId="2" fillId="0" borderId="12" xfId="0" applyFont="1" applyBorder="1" applyAlignment="1">
      <alignment horizontal="center"/>
    </xf>
    <xf numFmtId="0" fontId="3" fillId="0" borderId="12" xfId="0" applyFont="1" applyBorder="1"/>
    <xf numFmtId="0" fontId="6" fillId="0" borderId="12" xfId="0" applyFont="1" applyBorder="1" applyAlignment="1">
      <alignment horizontal="center"/>
    </xf>
    <xf numFmtId="0" fontId="5" fillId="0" borderId="12" xfId="0" applyFont="1" applyBorder="1"/>
    <xf numFmtId="0" fontId="2" fillId="0" borderId="12" xfId="0" applyFont="1" applyBorder="1" applyAlignment="1">
      <alignment horizontal="left"/>
    </xf>
    <xf numFmtId="0" fontId="2" fillId="0" borderId="12" xfId="0" quotePrefix="1" applyFont="1" applyBorder="1" applyAlignment="1">
      <alignment horizontal="left"/>
    </xf>
    <xf numFmtId="0" fontId="4" fillId="0" borderId="12" xfId="0" applyFont="1" applyBorder="1" applyAlignment="1">
      <alignment horizontal="center"/>
    </xf>
    <xf numFmtId="0" fontId="7" fillId="0" borderId="12" xfId="0" applyFont="1" applyBorder="1" applyAlignment="1">
      <alignment horizontal="center"/>
    </xf>
    <xf numFmtId="0" fontId="6" fillId="0" borderId="12" xfId="0" applyFont="1" applyBorder="1" applyAlignment="1">
      <alignment horizontal="center" vertical="top"/>
    </xf>
    <xf numFmtId="0" fontId="3" fillId="0" borderId="12" xfId="0" applyFont="1" applyBorder="1" applyAlignment="1">
      <alignment horizontal="center" vertical="top"/>
    </xf>
    <xf numFmtId="0" fontId="2" fillId="0" borderId="12" xfId="0" applyFont="1" applyBorder="1" applyAlignment="1">
      <alignment horizontal="center" vertical="top"/>
    </xf>
    <xf numFmtId="0" fontId="2" fillId="0" borderId="12" xfId="0" quotePrefix="1" applyFont="1" applyBorder="1"/>
    <xf numFmtId="0" fontId="0" fillId="0" borderId="12" xfId="0" applyBorder="1" applyAlignment="1">
      <alignment horizontal="center"/>
    </xf>
    <xf numFmtId="0" fontId="0" fillId="0" borderId="12" xfId="0" applyBorder="1"/>
    <xf numFmtId="0" fontId="3" fillId="2" borderId="12" xfId="0" applyFont="1" applyFill="1" applyBorder="1" applyAlignment="1">
      <alignment horizontal="center" vertical="top"/>
    </xf>
    <xf numFmtId="2" fontId="3" fillId="3" borderId="12" xfId="0" applyNumberFormat="1" applyFont="1" applyFill="1" applyBorder="1" applyAlignment="1">
      <alignment horizontal="center"/>
    </xf>
    <xf numFmtId="2" fontId="3" fillId="3" borderId="12" xfId="0" applyNumberFormat="1" applyFont="1" applyFill="1" applyBorder="1" applyAlignment="1">
      <alignment horizontal="center" vertical="center"/>
    </xf>
    <xf numFmtId="0" fontId="0" fillId="0" borderId="12" xfId="0" applyBorder="1" applyAlignment="1">
      <alignment horizontal="left" vertical="center"/>
    </xf>
    <xf numFmtId="0" fontId="3" fillId="3" borderId="12" xfId="0" applyFont="1" applyFill="1" applyBorder="1" applyAlignment="1">
      <alignment horizontal="center"/>
    </xf>
    <xf numFmtId="49" fontId="5" fillId="0" borderId="12" xfId="0" applyNumberFormat="1" applyFont="1" applyBorder="1" applyAlignment="1">
      <alignment horizontal="center"/>
    </xf>
    <xf numFmtId="2" fontId="5" fillId="0" borderId="12" xfId="0" applyNumberFormat="1" applyFont="1" applyBorder="1" applyAlignment="1">
      <alignment horizontal="center"/>
    </xf>
    <xf numFmtId="0" fontId="3" fillId="0" borderId="0" xfId="0" applyFont="1"/>
    <xf numFmtId="0" fontId="3" fillId="0" borderId="0" xfId="0" applyFont="1" applyAlignment="1">
      <alignment horizontal="center"/>
    </xf>
    <xf numFmtId="0" fontId="3" fillId="0" borderId="1" xfId="0" applyFont="1" applyBorder="1"/>
    <xf numFmtId="0" fontId="3" fillId="0" borderId="3" xfId="0" applyFont="1" applyBorder="1"/>
    <xf numFmtId="0" fontId="3" fillId="0" borderId="3" xfId="0" applyFont="1" applyBorder="1" applyAlignment="1">
      <alignment horizontal="center"/>
    </xf>
    <xf numFmtId="2" fontId="3" fillId="0" borderId="3" xfId="0" applyNumberFormat="1" applyFont="1" applyBorder="1" applyAlignment="1">
      <alignment horizontal="center" vertical="center"/>
    </xf>
    <xf numFmtId="0" fontId="3" fillId="0" borderId="13" xfId="0" applyFont="1" applyBorder="1"/>
    <xf numFmtId="0" fontId="3" fillId="0" borderId="14" xfId="0" applyFont="1" applyBorder="1"/>
    <xf numFmtId="14" fontId="3" fillId="0" borderId="16" xfId="0" applyNumberFormat="1" applyFont="1" applyBorder="1" applyAlignment="1">
      <alignment horizontal="center"/>
    </xf>
    <xf numFmtId="2" fontId="3" fillId="0" borderId="16" xfId="0" applyNumberFormat="1" applyFont="1" applyBorder="1" applyAlignment="1">
      <alignment horizontal="center" vertical="center"/>
    </xf>
    <xf numFmtId="0" fontId="3" fillId="0" borderId="17" xfId="0" applyFont="1" applyBorder="1"/>
    <xf numFmtId="0" fontId="3" fillId="0" borderId="15" xfId="0" applyFont="1" applyBorder="1" applyAlignment="1">
      <alignment horizontal="center"/>
    </xf>
    <xf numFmtId="0" fontId="3" fillId="0" borderId="16" xfId="0" applyFont="1" applyBorder="1" applyAlignment="1">
      <alignment horizontal="center"/>
    </xf>
    <xf numFmtId="0" fontId="3" fillId="0" borderId="19" xfId="0" applyFont="1" applyBorder="1"/>
    <xf numFmtId="0" fontId="3" fillId="0" borderId="21" xfId="0" applyFont="1" applyBorder="1" applyAlignment="1">
      <alignment horizontal="center"/>
    </xf>
    <xf numFmtId="0" fontId="3" fillId="0" borderId="15" xfId="0" applyFont="1" applyBorder="1"/>
    <xf numFmtId="14" fontId="9" fillId="0" borderId="19" xfId="0" applyNumberFormat="1" applyFont="1" applyBorder="1"/>
    <xf numFmtId="0" fontId="3" fillId="0" borderId="16" xfId="0" applyFont="1" applyBorder="1" applyAlignment="1">
      <alignment horizontal="center" vertical="center"/>
    </xf>
    <xf numFmtId="0" fontId="3" fillId="0" borderId="28" xfId="0" applyFont="1" applyBorder="1"/>
    <xf numFmtId="0" fontId="3" fillId="0" borderId="16" xfId="0" applyFont="1" applyBorder="1"/>
    <xf numFmtId="0" fontId="3" fillId="0" borderId="24" xfId="0" applyFont="1" applyBorder="1" applyAlignment="1">
      <alignment horizontal="center"/>
    </xf>
    <xf numFmtId="1" fontId="3" fillId="0" borderId="31" xfId="0" applyNumberFormat="1" applyFont="1" applyBorder="1" applyAlignment="1">
      <alignment horizontal="center"/>
    </xf>
    <xf numFmtId="2" fontId="3" fillId="0" borderId="32" xfId="0" applyNumberFormat="1" applyFont="1" applyBorder="1" applyAlignment="1">
      <alignment horizontal="center"/>
    </xf>
    <xf numFmtId="0" fontId="3" fillId="0" borderId="1" xfId="0" applyFont="1" applyBorder="1" applyAlignment="1">
      <alignment horizontal="center"/>
    </xf>
    <xf numFmtId="0" fontId="3" fillId="0" borderId="14" xfId="0" applyFont="1" applyBorder="1" applyAlignment="1">
      <alignment horizontal="center"/>
    </xf>
    <xf numFmtId="0" fontId="3" fillId="0" borderId="14" xfId="0" applyFont="1" applyBorder="1" applyAlignment="1">
      <alignment horizontal="left"/>
    </xf>
    <xf numFmtId="0" fontId="3" fillId="0" borderId="1" xfId="0" applyFont="1" applyBorder="1" applyAlignment="1">
      <alignment horizontal="left"/>
    </xf>
    <xf numFmtId="0" fontId="2" fillId="0" borderId="34" xfId="0" applyFont="1" applyBorder="1" applyAlignment="1">
      <alignment horizontal="center"/>
    </xf>
    <xf numFmtId="0" fontId="5" fillId="0" borderId="12" xfId="0" applyFont="1" applyBorder="1" applyAlignment="1">
      <alignment horizontal="left"/>
    </xf>
    <xf numFmtId="0" fontId="12" fillId="0" borderId="12" xfId="2" applyFont="1" applyBorder="1" applyAlignment="1">
      <alignment horizontal="left"/>
    </xf>
    <xf numFmtId="0" fontId="13" fillId="0" borderId="12" xfId="0" applyFont="1" applyBorder="1" applyAlignment="1">
      <alignment horizontal="left" vertical="center"/>
    </xf>
    <xf numFmtId="0" fontId="3" fillId="0" borderId="23" xfId="0" applyFont="1" applyBorder="1" applyAlignment="1">
      <alignment horizontal="center"/>
    </xf>
    <xf numFmtId="0" fontId="3" fillId="0" borderId="25" xfId="0" applyFont="1" applyBorder="1" applyAlignment="1">
      <alignment horizontal="center"/>
    </xf>
    <xf numFmtId="0" fontId="3" fillId="0" borderId="12" xfId="0" quotePrefix="1" applyFont="1" applyBorder="1" applyAlignment="1">
      <alignment horizontal="center" vertical="center"/>
    </xf>
    <xf numFmtId="0" fontId="3" fillId="0" borderId="16" xfId="0" applyFont="1" applyBorder="1" applyAlignment="1">
      <alignment horizontal="left"/>
    </xf>
    <xf numFmtId="0" fontId="11" fillId="0" borderId="31" xfId="0" applyFont="1" applyBorder="1" applyAlignment="1">
      <alignment horizontal="center"/>
    </xf>
    <xf numFmtId="0" fontId="11" fillId="0" borderId="18" xfId="0" applyFont="1" applyBorder="1" applyAlignment="1">
      <alignment horizontal="center"/>
    </xf>
    <xf numFmtId="2" fontId="11" fillId="0" borderId="16" xfId="0" applyNumberFormat="1" applyFont="1" applyBorder="1" applyAlignment="1">
      <alignment horizontal="center" vertical="center"/>
    </xf>
    <xf numFmtId="2" fontId="11" fillId="0" borderId="18" xfId="0" applyNumberFormat="1" applyFont="1" applyBorder="1" applyAlignment="1">
      <alignment horizontal="center"/>
    </xf>
    <xf numFmtId="14" fontId="4" fillId="0" borderId="0" xfId="0" applyNumberFormat="1" applyFont="1" applyAlignment="1">
      <alignment horizontal="center" vertical="center"/>
    </xf>
    <xf numFmtId="0" fontId="11" fillId="0" borderId="1" xfId="0" applyFont="1" applyBorder="1" applyAlignment="1">
      <alignment horizontal="left"/>
    </xf>
    <xf numFmtId="0" fontId="3" fillId="0" borderId="0" xfId="0" applyFont="1" applyBorder="1" applyAlignment="1">
      <alignment horizontal="center"/>
    </xf>
    <xf numFmtId="2" fontId="3" fillId="0" borderId="0" xfId="0" applyNumberFormat="1" applyFont="1" applyBorder="1" applyAlignment="1">
      <alignment horizontal="center" vertical="center"/>
    </xf>
    <xf numFmtId="0" fontId="11" fillId="0" borderId="14" xfId="0" applyFont="1" applyBorder="1" applyAlignment="1">
      <alignment horizontal="center"/>
    </xf>
    <xf numFmtId="0" fontId="3" fillId="0" borderId="0" xfId="0" applyFont="1" applyBorder="1"/>
    <xf numFmtId="0" fontId="3" fillId="0" borderId="15" xfId="0" applyFont="1" applyBorder="1" applyAlignment="1">
      <alignment horizontal="left"/>
    </xf>
    <xf numFmtId="0" fontId="3" fillId="0" borderId="36" xfId="2" applyFont="1" applyBorder="1" applyAlignment="1">
      <alignment horizontal="left"/>
    </xf>
    <xf numFmtId="0" fontId="3" fillId="0" borderId="26" xfId="0" applyFont="1" applyBorder="1" applyAlignment="1">
      <alignment horizontal="center" vertical="center"/>
    </xf>
    <xf numFmtId="0" fontId="3" fillId="0" borderId="20" xfId="0" applyFont="1" applyBorder="1" applyAlignment="1">
      <alignment horizontal="left"/>
    </xf>
    <xf numFmtId="0" fontId="3" fillId="0" borderId="33" xfId="2" applyFont="1" applyBorder="1" applyAlignment="1">
      <alignment horizontal="left"/>
    </xf>
    <xf numFmtId="0" fontId="3" fillId="0" borderId="25" xfId="0" applyFont="1" applyBorder="1" applyAlignment="1">
      <alignment horizontal="center" vertical="center"/>
    </xf>
    <xf numFmtId="2" fontId="3" fillId="0" borderId="11" xfId="0" applyNumberFormat="1" applyFont="1" applyBorder="1" applyAlignment="1">
      <alignment horizontal="center" vertical="center"/>
    </xf>
    <xf numFmtId="2" fontId="3" fillId="0" borderId="29" xfId="0" applyNumberFormat="1" applyFont="1" applyBorder="1" applyAlignment="1">
      <alignment horizontal="center"/>
    </xf>
    <xf numFmtId="49" fontId="3" fillId="0" borderId="12" xfId="0" quotePrefix="1" applyNumberFormat="1" applyFont="1" applyBorder="1" applyAlignment="1">
      <alignment horizontal="center"/>
    </xf>
    <xf numFmtId="0" fontId="3" fillId="0" borderId="12" xfId="0" quotePrefix="1" applyFont="1" applyBorder="1" applyAlignment="1">
      <alignment horizontal="center"/>
    </xf>
    <xf numFmtId="0" fontId="11" fillId="0" borderId="12" xfId="0" applyFont="1" applyBorder="1" applyAlignment="1">
      <alignment horizontal="center"/>
    </xf>
    <xf numFmtId="0" fontId="3" fillId="0" borderId="12" xfId="2" applyFont="1" applyBorder="1" applyAlignment="1">
      <alignment horizontal="left"/>
    </xf>
    <xf numFmtId="14" fontId="11" fillId="0" borderId="15" xfId="0" applyNumberFormat="1" applyFont="1" applyBorder="1"/>
    <xf numFmtId="14" fontId="11" fillId="0" borderId="16" xfId="0" applyNumberFormat="1" applyFont="1" applyBorder="1" applyAlignment="1">
      <alignment horizontal="center"/>
    </xf>
    <xf numFmtId="0" fontId="3" fillId="0" borderId="30" xfId="0" applyFont="1" applyBorder="1" applyAlignment="1">
      <alignment horizontal="center"/>
    </xf>
    <xf numFmtId="0" fontId="3" fillId="0" borderId="12" xfId="0" applyFont="1" applyBorder="1" applyAlignment="1">
      <alignment horizontal="left" vertical="center"/>
    </xf>
    <xf numFmtId="2" fontId="3" fillId="0" borderId="13" xfId="0" applyNumberFormat="1" applyFont="1" applyBorder="1" applyAlignment="1">
      <alignment horizontal="center" vertical="center"/>
    </xf>
    <xf numFmtId="2" fontId="3" fillId="0" borderId="17" xfId="0" applyNumberFormat="1" applyFont="1" applyBorder="1" applyAlignment="1">
      <alignment horizontal="center" vertical="center"/>
    </xf>
    <xf numFmtId="2" fontId="3" fillId="0" borderId="19" xfId="0" applyNumberFormat="1" applyFont="1" applyBorder="1" applyAlignment="1">
      <alignment horizontal="center" vertical="center"/>
    </xf>
    <xf numFmtId="2" fontId="3" fillId="0" borderId="22" xfId="0" applyNumberFormat="1" applyFont="1" applyBorder="1" applyAlignment="1">
      <alignment horizontal="center" vertical="center"/>
    </xf>
    <xf numFmtId="0" fontId="3" fillId="0" borderId="0" xfId="0" applyFont="1" applyBorder="1" applyAlignment="1">
      <alignment horizontal="left"/>
    </xf>
    <xf numFmtId="14" fontId="9" fillId="0" borderId="14" xfId="0" applyNumberFormat="1" applyFont="1" applyBorder="1" applyAlignment="1">
      <alignment horizontal="center"/>
    </xf>
    <xf numFmtId="14" fontId="9" fillId="0" borderId="0" xfId="0" applyNumberFormat="1" applyFont="1" applyBorder="1" applyAlignment="1">
      <alignment horizontal="center"/>
    </xf>
    <xf numFmtId="2" fontId="9" fillId="0" borderId="0" xfId="0" applyNumberFormat="1" applyFont="1" applyBorder="1" applyAlignment="1">
      <alignment horizontal="center" vertical="center"/>
    </xf>
    <xf numFmtId="0" fontId="3" fillId="0" borderId="27" xfId="0" applyFont="1" applyBorder="1" applyAlignment="1">
      <alignment horizontal="center"/>
    </xf>
    <xf numFmtId="2" fontId="3" fillId="0" borderId="37" xfId="0" applyNumberFormat="1" applyFont="1" applyBorder="1" applyAlignment="1">
      <alignment horizontal="center" vertical="center"/>
    </xf>
    <xf numFmtId="9" fontId="3" fillId="0" borderId="13" xfId="0" applyNumberFormat="1" applyFont="1" applyBorder="1"/>
    <xf numFmtId="0" fontId="15" fillId="0" borderId="3" xfId="0" applyFont="1" applyBorder="1" applyAlignment="1">
      <alignment horizontal="center"/>
    </xf>
    <xf numFmtId="0" fontId="3" fillId="0" borderId="35" xfId="0" applyFont="1" applyBorder="1"/>
    <xf numFmtId="0" fontId="3" fillId="0" borderId="38" xfId="0" applyFont="1" applyBorder="1" applyAlignment="1">
      <alignment horizontal="center"/>
    </xf>
    <xf numFmtId="0" fontId="3" fillId="0" borderId="14" xfId="0" applyFont="1" applyBorder="1" applyAlignment="1"/>
    <xf numFmtId="0" fontId="3" fillId="0" borderId="42" xfId="0" applyFont="1" applyBorder="1" applyAlignment="1">
      <alignment horizontal="center"/>
    </xf>
    <xf numFmtId="0" fontId="3" fillId="0" borderId="43" xfId="0" applyFont="1" applyBorder="1" applyAlignment="1">
      <alignment horizontal="center" vertical="center"/>
    </xf>
    <xf numFmtId="0" fontId="3" fillId="0" borderId="43" xfId="0" applyFont="1" applyBorder="1"/>
    <xf numFmtId="0" fontId="3" fillId="0" borderId="43" xfId="0" applyFont="1" applyBorder="1" applyAlignment="1">
      <alignment horizontal="center"/>
    </xf>
    <xf numFmtId="2" fontId="3" fillId="0" borderId="43" xfId="0" applyNumberFormat="1" applyFont="1" applyBorder="1" applyAlignment="1">
      <alignment horizontal="center" vertical="center"/>
    </xf>
    <xf numFmtId="2" fontId="3" fillId="0" borderId="44" xfId="0" applyNumberFormat="1" applyFont="1" applyBorder="1" applyAlignment="1">
      <alignment horizontal="center"/>
    </xf>
    <xf numFmtId="0" fontId="3" fillId="0" borderId="45" xfId="0" applyFont="1" applyBorder="1" applyAlignment="1">
      <alignment horizontal="center"/>
    </xf>
    <xf numFmtId="0" fontId="3" fillId="0" borderId="46" xfId="0" applyFont="1" applyBorder="1" applyAlignment="1">
      <alignment horizontal="center"/>
    </xf>
    <xf numFmtId="0" fontId="3" fillId="0" borderId="46" xfId="0" applyFont="1" applyBorder="1"/>
    <xf numFmtId="2" fontId="3" fillId="0" borderId="46" xfId="0" applyNumberFormat="1" applyFont="1" applyBorder="1" applyAlignment="1">
      <alignment horizontal="center" vertical="center"/>
    </xf>
    <xf numFmtId="2" fontId="3" fillId="0" borderId="47" xfId="0" applyNumberFormat="1" applyFont="1" applyBorder="1" applyAlignment="1">
      <alignment horizontal="center"/>
    </xf>
    <xf numFmtId="0" fontId="15" fillId="0" borderId="0" xfId="0" applyFont="1" applyAlignment="1">
      <alignment horizontal="right" vertical="center"/>
    </xf>
    <xf numFmtId="0" fontId="3" fillId="0" borderId="39" xfId="0" applyFont="1" applyBorder="1" applyAlignment="1">
      <alignment horizontal="center" wrapText="1"/>
    </xf>
    <xf numFmtId="0" fontId="3" fillId="0" borderId="40" xfId="0" applyFont="1" applyBorder="1" applyAlignment="1">
      <alignment horizontal="center" wrapText="1"/>
    </xf>
    <xf numFmtId="0" fontId="3" fillId="0" borderId="41" xfId="0" applyFont="1" applyBorder="1" applyAlignment="1">
      <alignment horizontal="center" wrapText="1"/>
    </xf>
  </cellXfs>
  <cellStyles count="3">
    <cellStyle name="Comma" xfId="1" builtinId="3"/>
    <cellStyle name="Normal" xfId="0" builtinId="0"/>
    <cellStyle name="Normal 2" xfId="2"/>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390525</xdr:colOff>
      <xdr:row>0</xdr:row>
      <xdr:rowOff>285750</xdr:rowOff>
    </xdr:from>
    <xdr:to>
      <xdr:col>2</xdr:col>
      <xdr:colOff>390525</xdr:colOff>
      <xdr:row>0</xdr:row>
      <xdr:rowOff>314325</xdr:rowOff>
    </xdr:to>
    <xdr:sp macro="" textlink="">
      <xdr:nvSpPr>
        <xdr:cNvPr id="2" name="Rectangle 1">
          <a:extLst>
            <a:ext uri="{FF2B5EF4-FFF2-40B4-BE49-F238E27FC236}">
              <a16:creationId xmlns:a16="http://schemas.microsoft.com/office/drawing/2014/main" xmlns="" id="{5F164AFF-00FC-45F4-B3E8-929E7B8AB93F}"/>
            </a:ext>
          </a:extLst>
        </xdr:cNvPr>
        <xdr:cNvSpPr>
          <a:spLocks noChangeArrowheads="1"/>
        </xdr:cNvSpPr>
      </xdr:nvSpPr>
      <xdr:spPr bwMode="auto">
        <a:xfrm>
          <a:off x="2209800" y="200025"/>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390525</xdr:colOff>
      <xdr:row>0</xdr:row>
      <xdr:rowOff>285750</xdr:rowOff>
    </xdr:from>
    <xdr:to>
      <xdr:col>2</xdr:col>
      <xdr:colOff>390525</xdr:colOff>
      <xdr:row>0</xdr:row>
      <xdr:rowOff>314325</xdr:rowOff>
    </xdr:to>
    <xdr:sp macro="" textlink="">
      <xdr:nvSpPr>
        <xdr:cNvPr id="3" name="Rectangle 2">
          <a:extLst>
            <a:ext uri="{FF2B5EF4-FFF2-40B4-BE49-F238E27FC236}">
              <a16:creationId xmlns:a16="http://schemas.microsoft.com/office/drawing/2014/main" xmlns="" id="{D84585BE-BA9C-4F4D-86F5-9D3146AC5246}"/>
            </a:ext>
          </a:extLst>
        </xdr:cNvPr>
        <xdr:cNvSpPr>
          <a:spLocks noChangeArrowheads="1"/>
        </xdr:cNvSpPr>
      </xdr:nvSpPr>
      <xdr:spPr bwMode="auto">
        <a:xfrm>
          <a:off x="2209800" y="200025"/>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342900</xdr:colOff>
      <xdr:row>0</xdr:row>
      <xdr:rowOff>323850</xdr:rowOff>
    </xdr:from>
    <xdr:to>
      <xdr:col>2</xdr:col>
      <xdr:colOff>342900</xdr:colOff>
      <xdr:row>0</xdr:row>
      <xdr:rowOff>352425</xdr:rowOff>
    </xdr:to>
    <xdr:sp macro="" textlink="">
      <xdr:nvSpPr>
        <xdr:cNvPr id="4" name="Rectangle 1">
          <a:extLst>
            <a:ext uri="{FF2B5EF4-FFF2-40B4-BE49-F238E27FC236}">
              <a16:creationId xmlns:a16="http://schemas.microsoft.com/office/drawing/2014/main" xmlns="" id="{39E4DA7D-D6E4-49DC-B6E3-FEFDC574F215}"/>
            </a:ext>
          </a:extLst>
        </xdr:cNvPr>
        <xdr:cNvSpPr>
          <a:spLocks noChangeArrowheads="1"/>
        </xdr:cNvSpPr>
      </xdr:nvSpPr>
      <xdr:spPr bwMode="auto">
        <a:xfrm>
          <a:off x="2162175" y="200025"/>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342900</xdr:colOff>
      <xdr:row>0</xdr:row>
      <xdr:rowOff>323850</xdr:rowOff>
    </xdr:from>
    <xdr:to>
      <xdr:col>2</xdr:col>
      <xdr:colOff>342900</xdr:colOff>
      <xdr:row>0</xdr:row>
      <xdr:rowOff>352425</xdr:rowOff>
    </xdr:to>
    <xdr:sp macro="" textlink="">
      <xdr:nvSpPr>
        <xdr:cNvPr id="5" name="Rectangle 1">
          <a:extLst>
            <a:ext uri="{FF2B5EF4-FFF2-40B4-BE49-F238E27FC236}">
              <a16:creationId xmlns:a16="http://schemas.microsoft.com/office/drawing/2014/main" xmlns="" id="{4A2E2EF8-D2CF-456D-BFD7-C9B37A57D1A5}"/>
            </a:ext>
          </a:extLst>
        </xdr:cNvPr>
        <xdr:cNvSpPr>
          <a:spLocks noChangeArrowheads="1"/>
        </xdr:cNvSpPr>
      </xdr:nvSpPr>
      <xdr:spPr bwMode="auto">
        <a:xfrm>
          <a:off x="2162175" y="200025"/>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342900</xdr:colOff>
      <xdr:row>0</xdr:row>
      <xdr:rowOff>323850</xdr:rowOff>
    </xdr:from>
    <xdr:to>
      <xdr:col>2</xdr:col>
      <xdr:colOff>342900</xdr:colOff>
      <xdr:row>0</xdr:row>
      <xdr:rowOff>352425</xdr:rowOff>
    </xdr:to>
    <xdr:sp macro="" textlink="">
      <xdr:nvSpPr>
        <xdr:cNvPr id="6" name="Rectangle 1">
          <a:extLst>
            <a:ext uri="{FF2B5EF4-FFF2-40B4-BE49-F238E27FC236}">
              <a16:creationId xmlns:a16="http://schemas.microsoft.com/office/drawing/2014/main" xmlns="" id="{C9ED2B5D-9781-4C78-9E61-D8B50FCB35D7}"/>
            </a:ext>
          </a:extLst>
        </xdr:cNvPr>
        <xdr:cNvSpPr>
          <a:spLocks noChangeArrowheads="1"/>
        </xdr:cNvSpPr>
      </xdr:nvSpPr>
      <xdr:spPr bwMode="auto">
        <a:xfrm>
          <a:off x="2162175" y="200025"/>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342900</xdr:colOff>
      <xdr:row>0</xdr:row>
      <xdr:rowOff>323850</xdr:rowOff>
    </xdr:from>
    <xdr:to>
      <xdr:col>2</xdr:col>
      <xdr:colOff>342900</xdr:colOff>
      <xdr:row>0</xdr:row>
      <xdr:rowOff>352425</xdr:rowOff>
    </xdr:to>
    <xdr:sp macro="" textlink="">
      <xdr:nvSpPr>
        <xdr:cNvPr id="7" name="Rectangle 1">
          <a:extLst>
            <a:ext uri="{FF2B5EF4-FFF2-40B4-BE49-F238E27FC236}">
              <a16:creationId xmlns:a16="http://schemas.microsoft.com/office/drawing/2014/main" xmlns="" id="{BC595E96-991E-48A4-A502-AB3FECD06C13}"/>
            </a:ext>
          </a:extLst>
        </xdr:cNvPr>
        <xdr:cNvSpPr>
          <a:spLocks noChangeArrowheads="1"/>
        </xdr:cNvSpPr>
      </xdr:nvSpPr>
      <xdr:spPr bwMode="auto">
        <a:xfrm>
          <a:off x="2162175" y="200025"/>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342900</xdr:colOff>
      <xdr:row>0</xdr:row>
      <xdr:rowOff>323850</xdr:rowOff>
    </xdr:from>
    <xdr:to>
      <xdr:col>2</xdr:col>
      <xdr:colOff>342900</xdr:colOff>
      <xdr:row>0</xdr:row>
      <xdr:rowOff>352425</xdr:rowOff>
    </xdr:to>
    <xdr:sp macro="" textlink="">
      <xdr:nvSpPr>
        <xdr:cNvPr id="8" name="Rectangle 5">
          <a:extLst>
            <a:ext uri="{FF2B5EF4-FFF2-40B4-BE49-F238E27FC236}">
              <a16:creationId xmlns:a16="http://schemas.microsoft.com/office/drawing/2014/main" xmlns="" id="{567A6685-BEB0-4E6D-B976-A2A5A6C8FDD6}"/>
            </a:ext>
          </a:extLst>
        </xdr:cNvPr>
        <xdr:cNvSpPr>
          <a:spLocks noChangeArrowheads="1"/>
        </xdr:cNvSpPr>
      </xdr:nvSpPr>
      <xdr:spPr bwMode="auto">
        <a:xfrm>
          <a:off x="2162175" y="200025"/>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342900</xdr:colOff>
      <xdr:row>0</xdr:row>
      <xdr:rowOff>323850</xdr:rowOff>
    </xdr:from>
    <xdr:to>
      <xdr:col>2</xdr:col>
      <xdr:colOff>342900</xdr:colOff>
      <xdr:row>0</xdr:row>
      <xdr:rowOff>352425</xdr:rowOff>
    </xdr:to>
    <xdr:sp macro="" textlink="">
      <xdr:nvSpPr>
        <xdr:cNvPr id="9" name="Rectangle 1">
          <a:extLst>
            <a:ext uri="{FF2B5EF4-FFF2-40B4-BE49-F238E27FC236}">
              <a16:creationId xmlns:a16="http://schemas.microsoft.com/office/drawing/2014/main" xmlns="" id="{829BFC1D-1652-4170-8D66-C675A7409AE9}"/>
            </a:ext>
          </a:extLst>
        </xdr:cNvPr>
        <xdr:cNvSpPr>
          <a:spLocks noChangeArrowheads="1"/>
        </xdr:cNvSpPr>
      </xdr:nvSpPr>
      <xdr:spPr bwMode="auto">
        <a:xfrm>
          <a:off x="2162175" y="200025"/>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342900</xdr:colOff>
      <xdr:row>0</xdr:row>
      <xdr:rowOff>323850</xdr:rowOff>
    </xdr:from>
    <xdr:to>
      <xdr:col>2</xdr:col>
      <xdr:colOff>342900</xdr:colOff>
      <xdr:row>0</xdr:row>
      <xdr:rowOff>352425</xdr:rowOff>
    </xdr:to>
    <xdr:sp macro="" textlink="">
      <xdr:nvSpPr>
        <xdr:cNvPr id="10" name="Rectangle 1">
          <a:extLst>
            <a:ext uri="{FF2B5EF4-FFF2-40B4-BE49-F238E27FC236}">
              <a16:creationId xmlns:a16="http://schemas.microsoft.com/office/drawing/2014/main" xmlns="" id="{48D690F1-1508-45C2-8400-9E80558F2F9E}"/>
            </a:ext>
          </a:extLst>
        </xdr:cNvPr>
        <xdr:cNvSpPr>
          <a:spLocks noChangeArrowheads="1"/>
        </xdr:cNvSpPr>
      </xdr:nvSpPr>
      <xdr:spPr bwMode="auto">
        <a:xfrm>
          <a:off x="2162175" y="200025"/>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342900</xdr:colOff>
      <xdr:row>0</xdr:row>
      <xdr:rowOff>323850</xdr:rowOff>
    </xdr:from>
    <xdr:to>
      <xdr:col>2</xdr:col>
      <xdr:colOff>342900</xdr:colOff>
      <xdr:row>0</xdr:row>
      <xdr:rowOff>352425</xdr:rowOff>
    </xdr:to>
    <xdr:sp macro="" textlink="">
      <xdr:nvSpPr>
        <xdr:cNvPr id="11" name="Rectangle 1">
          <a:extLst>
            <a:ext uri="{FF2B5EF4-FFF2-40B4-BE49-F238E27FC236}">
              <a16:creationId xmlns:a16="http://schemas.microsoft.com/office/drawing/2014/main" xmlns="" id="{9F8AEE6E-A6E0-4831-ABF7-BE1FF7C43C58}"/>
            </a:ext>
          </a:extLst>
        </xdr:cNvPr>
        <xdr:cNvSpPr>
          <a:spLocks noChangeArrowheads="1"/>
        </xdr:cNvSpPr>
      </xdr:nvSpPr>
      <xdr:spPr bwMode="auto">
        <a:xfrm>
          <a:off x="2162175" y="200025"/>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533400</xdr:colOff>
      <xdr:row>58</xdr:row>
      <xdr:rowOff>76200</xdr:rowOff>
    </xdr:from>
    <xdr:to>
      <xdr:col>28</xdr:col>
      <xdr:colOff>444500</xdr:colOff>
      <xdr:row>63</xdr:row>
      <xdr:rowOff>148688</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598900" y="11036300"/>
          <a:ext cx="2349500" cy="9614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L74"/>
  <sheetViews>
    <sheetView topLeftCell="A10" zoomScale="125" zoomScaleNormal="125" workbookViewId="0">
      <selection activeCell="C80" sqref="C80"/>
    </sheetView>
  </sheetViews>
  <sheetFormatPr defaultColWidth="8.88671875" defaultRowHeight="13.8"/>
  <cols>
    <col min="1" max="1" width="13.77734375" style="57" customWidth="1"/>
    <col min="2" max="2" width="10.6640625" style="57" customWidth="1"/>
    <col min="3" max="3" width="38" style="56" customWidth="1"/>
    <col min="4" max="4" width="12.109375" style="57" customWidth="1"/>
    <col min="5" max="5" width="9.5546875" style="57" customWidth="1"/>
    <col min="6" max="6" width="8.88671875" style="56"/>
    <col min="7" max="7" width="10" style="56" customWidth="1"/>
    <col min="8" max="16384" width="8.88671875" style="56"/>
  </cols>
  <sheetData>
    <row r="1" spans="1:12" ht="18.600000000000001" thickBot="1">
      <c r="A1" s="79"/>
      <c r="B1" s="60"/>
      <c r="C1" s="128" t="s">
        <v>124</v>
      </c>
      <c r="D1" s="60"/>
      <c r="E1" s="60"/>
      <c r="F1" s="61"/>
      <c r="G1" s="62"/>
    </row>
    <row r="2" spans="1:12">
      <c r="A2" s="96" t="s">
        <v>125</v>
      </c>
      <c r="B2" s="60"/>
      <c r="C2" s="59"/>
      <c r="D2" s="58" t="s">
        <v>126</v>
      </c>
      <c r="E2" s="60"/>
      <c r="F2" s="60"/>
      <c r="G2" s="117"/>
    </row>
    <row r="3" spans="1:12" ht="14.4" thickBot="1">
      <c r="A3" s="81" t="s">
        <v>127</v>
      </c>
      <c r="B3" s="97"/>
      <c r="C3" s="100"/>
      <c r="D3" s="113" t="s">
        <v>145</v>
      </c>
      <c r="E3" s="114" t="s">
        <v>146</v>
      </c>
      <c r="F3" s="64"/>
      <c r="G3" s="118"/>
    </row>
    <row r="4" spans="1:12">
      <c r="A4" s="81" t="s">
        <v>128</v>
      </c>
      <c r="B4" s="97"/>
      <c r="C4" s="100"/>
      <c r="D4" s="82" t="s">
        <v>129</v>
      </c>
      <c r="E4" s="60"/>
      <c r="F4" s="60"/>
      <c r="G4" s="117"/>
    </row>
    <row r="5" spans="1:12">
      <c r="A5" s="81" t="s">
        <v>130</v>
      </c>
      <c r="B5" s="97"/>
      <c r="C5" s="100"/>
      <c r="D5" s="81" t="s">
        <v>45</v>
      </c>
      <c r="E5" s="97"/>
      <c r="F5" s="97"/>
      <c r="G5" s="119"/>
    </row>
    <row r="6" spans="1:12" ht="14.4" thickBot="1">
      <c r="A6" s="81" t="s">
        <v>131</v>
      </c>
      <c r="B6" s="97"/>
      <c r="C6" s="100"/>
      <c r="D6" s="71"/>
      <c r="E6" s="97"/>
      <c r="F6" s="97"/>
      <c r="G6" s="118"/>
    </row>
    <row r="7" spans="1:12">
      <c r="A7" s="96" t="s">
        <v>132</v>
      </c>
      <c r="B7" s="60"/>
      <c r="C7" s="59"/>
      <c r="D7" s="104" t="s">
        <v>133</v>
      </c>
      <c r="E7" s="70"/>
      <c r="F7" s="70"/>
      <c r="G7" s="120"/>
    </row>
    <row r="8" spans="1:12">
      <c r="A8" s="81" t="s">
        <v>63</v>
      </c>
      <c r="B8" s="97"/>
      <c r="C8" s="100"/>
      <c r="D8" s="63" t="s">
        <v>134</v>
      </c>
      <c r="E8" s="97"/>
      <c r="F8" s="97"/>
      <c r="G8" s="119"/>
    </row>
    <row r="9" spans="1:12" ht="14.4" thickBot="1">
      <c r="A9" s="81" t="s">
        <v>65</v>
      </c>
      <c r="B9" s="97"/>
      <c r="C9" s="100"/>
      <c r="D9" s="71"/>
      <c r="E9" s="68"/>
      <c r="F9" s="68"/>
      <c r="G9" s="118"/>
    </row>
    <row r="10" spans="1:12">
      <c r="A10" s="81" t="s">
        <v>135</v>
      </c>
      <c r="B10" s="97"/>
      <c r="C10" s="100"/>
      <c r="D10" s="63" t="s">
        <v>136</v>
      </c>
      <c r="E10" s="97"/>
      <c r="F10" s="97"/>
      <c r="G10" s="119"/>
      <c r="K10" s="100"/>
      <c r="L10" s="100"/>
    </row>
    <row r="11" spans="1:12">
      <c r="A11" s="81" t="s">
        <v>137</v>
      </c>
      <c r="B11" s="97"/>
      <c r="C11" s="100"/>
      <c r="D11" s="63"/>
      <c r="E11" s="97"/>
      <c r="F11" s="97"/>
      <c r="G11" s="119"/>
    </row>
    <row r="12" spans="1:12">
      <c r="A12" s="81" t="s">
        <v>70</v>
      </c>
      <c r="B12" s="97"/>
      <c r="C12" s="100"/>
      <c r="D12" s="63"/>
      <c r="E12" s="97"/>
      <c r="F12" s="97"/>
      <c r="G12" s="119"/>
    </row>
    <row r="13" spans="1:12" ht="14.4" thickBot="1">
      <c r="A13" s="81" t="s">
        <v>71</v>
      </c>
      <c r="B13" s="97"/>
      <c r="C13" s="100"/>
      <c r="D13" s="71"/>
      <c r="E13" s="68"/>
      <c r="F13" s="68"/>
      <c r="G13" s="118"/>
    </row>
    <row r="14" spans="1:12">
      <c r="A14" s="82" t="s">
        <v>138</v>
      </c>
      <c r="B14" s="87"/>
      <c r="C14" s="59" t="s">
        <v>139</v>
      </c>
      <c r="D14" s="58"/>
      <c r="E14" s="60" t="s">
        <v>140</v>
      </c>
      <c r="F14" s="60"/>
      <c r="G14" s="117"/>
    </row>
    <row r="15" spans="1:12" ht="14.4" thickBot="1">
      <c r="A15" s="101"/>
      <c r="B15" s="76"/>
      <c r="C15" s="75"/>
      <c r="D15" s="63"/>
      <c r="E15" s="97"/>
      <c r="F15" s="97"/>
      <c r="G15" s="119"/>
    </row>
    <row r="16" spans="1:12">
      <c r="A16" s="82" t="s">
        <v>141</v>
      </c>
      <c r="B16" s="87"/>
      <c r="C16" s="59" t="s">
        <v>142</v>
      </c>
      <c r="D16" s="63" t="s">
        <v>143</v>
      </c>
      <c r="E16" s="121" t="s">
        <v>0</v>
      </c>
      <c r="F16" s="97"/>
      <c r="G16" s="119"/>
    </row>
    <row r="17" spans="1:11" ht="14.4" thickBot="1">
      <c r="A17" s="101" t="s">
        <v>147</v>
      </c>
      <c r="B17" s="76"/>
      <c r="C17" s="75" t="s">
        <v>1</v>
      </c>
      <c r="D17" s="122"/>
      <c r="E17" s="123"/>
      <c r="F17" s="124"/>
      <c r="G17" s="72"/>
    </row>
    <row r="18" spans="1:11">
      <c r="A18" s="81" t="s">
        <v>2</v>
      </c>
      <c r="B18" s="88"/>
      <c r="C18" s="100" t="s">
        <v>3</v>
      </c>
      <c r="D18" s="80"/>
      <c r="E18" s="97"/>
      <c r="F18" s="98"/>
      <c r="G18" s="69"/>
    </row>
    <row r="19" spans="1:11" ht="14.4" thickBot="1">
      <c r="A19" s="81" t="s">
        <v>148</v>
      </c>
      <c r="B19" s="88"/>
      <c r="C19" s="100" t="s">
        <v>4</v>
      </c>
      <c r="D19" s="67"/>
      <c r="E19" s="73"/>
      <c r="F19" s="65"/>
      <c r="G19" s="66"/>
    </row>
    <row r="20" spans="1:11">
      <c r="A20" s="79" t="s">
        <v>5</v>
      </c>
      <c r="B20" s="87" t="s">
        <v>149</v>
      </c>
      <c r="C20" s="59" t="s">
        <v>6</v>
      </c>
      <c r="D20" s="125" t="s">
        <v>7</v>
      </c>
      <c r="E20" s="106" t="s">
        <v>153</v>
      </c>
      <c r="F20" s="98" t="s">
        <v>8</v>
      </c>
      <c r="G20" s="74" t="s">
        <v>9</v>
      </c>
    </row>
    <row r="21" spans="1:11">
      <c r="A21" s="99" t="s">
        <v>10</v>
      </c>
      <c r="B21" s="88">
        <v>855</v>
      </c>
      <c r="C21" s="100"/>
      <c r="D21" s="125"/>
      <c r="E21" s="106"/>
      <c r="F21" s="98" t="s">
        <v>12</v>
      </c>
      <c r="G21" s="74" t="s">
        <v>12</v>
      </c>
    </row>
    <row r="22" spans="1:11">
      <c r="A22" s="80" t="s">
        <v>151</v>
      </c>
      <c r="B22" s="88" t="s">
        <v>150</v>
      </c>
      <c r="C22" s="100"/>
      <c r="D22" s="125"/>
      <c r="E22" s="106"/>
      <c r="F22" s="98"/>
      <c r="G22" s="74"/>
    </row>
    <row r="23" spans="1:11">
      <c r="A23" s="80" t="s">
        <v>152</v>
      </c>
      <c r="B23" s="88" t="s">
        <v>11</v>
      </c>
      <c r="C23" s="105"/>
      <c r="D23" s="125"/>
      <c r="E23" s="106"/>
      <c r="F23" s="98"/>
      <c r="G23" s="74"/>
    </row>
    <row r="24" spans="1:11">
      <c r="A24" s="80"/>
      <c r="B24" s="88"/>
      <c r="C24" s="102"/>
      <c r="D24" s="115"/>
      <c r="E24" s="103"/>
      <c r="F24" s="126"/>
      <c r="G24" s="129"/>
    </row>
    <row r="25" spans="1:11">
      <c r="A25" s="130" t="s">
        <v>91</v>
      </c>
      <c r="B25" s="89" t="s">
        <v>90</v>
      </c>
      <c r="C25" s="36" t="s">
        <v>92</v>
      </c>
      <c r="D25" s="31"/>
      <c r="E25" s="25">
        <v>480</v>
      </c>
      <c r="F25" s="107">
        <v>1.64</v>
      </c>
      <c r="G25" s="108">
        <f t="shared" ref="G25:G61" si="0">SUM(E25*F25)</f>
        <v>787.19999999999993</v>
      </c>
    </row>
    <row r="26" spans="1:11">
      <c r="A26" s="130"/>
      <c r="B26" s="109"/>
      <c r="C26" s="36" t="s">
        <v>37</v>
      </c>
      <c r="D26" s="25"/>
      <c r="E26" s="25"/>
      <c r="F26" s="107"/>
      <c r="G26" s="108"/>
      <c r="K26" s="100"/>
    </row>
    <row r="27" spans="1:11">
      <c r="A27" s="130"/>
      <c r="B27" s="109"/>
      <c r="C27" s="36"/>
      <c r="D27" s="25"/>
      <c r="E27" s="25"/>
      <c r="F27" s="107"/>
      <c r="G27" s="108"/>
    </row>
    <row r="28" spans="1:11">
      <c r="A28" s="130" t="s">
        <v>91</v>
      </c>
      <c r="B28" s="109" t="s">
        <v>93</v>
      </c>
      <c r="C28" s="36" t="s">
        <v>95</v>
      </c>
      <c r="D28" s="25" t="s">
        <v>94</v>
      </c>
      <c r="E28" s="25">
        <v>96</v>
      </c>
      <c r="F28" s="107">
        <v>4.45</v>
      </c>
      <c r="G28" s="108">
        <f t="shared" si="0"/>
        <v>427.20000000000005</v>
      </c>
    </row>
    <row r="29" spans="1:11">
      <c r="A29" s="130" t="s">
        <v>91</v>
      </c>
      <c r="B29" s="109" t="s">
        <v>96</v>
      </c>
      <c r="C29" s="36" t="s">
        <v>38</v>
      </c>
      <c r="D29" s="25" t="s">
        <v>97</v>
      </c>
      <c r="E29" s="25">
        <v>144</v>
      </c>
      <c r="F29" s="107">
        <v>4.45</v>
      </c>
      <c r="G29" s="108">
        <f t="shared" si="0"/>
        <v>640.80000000000007</v>
      </c>
    </row>
    <row r="30" spans="1:11">
      <c r="A30" s="130" t="s">
        <v>91</v>
      </c>
      <c r="B30" s="109" t="s">
        <v>98</v>
      </c>
      <c r="C30" s="36"/>
      <c r="D30" s="25" t="s">
        <v>99</v>
      </c>
      <c r="E30" s="25">
        <v>72</v>
      </c>
      <c r="F30" s="107">
        <v>4.8</v>
      </c>
      <c r="G30" s="108">
        <f t="shared" si="0"/>
        <v>345.59999999999997</v>
      </c>
    </row>
    <row r="31" spans="1:11">
      <c r="A31" s="130" t="s">
        <v>91</v>
      </c>
      <c r="B31" s="110" t="s">
        <v>100</v>
      </c>
      <c r="C31" s="36"/>
      <c r="D31" s="25" t="s">
        <v>20</v>
      </c>
      <c r="E31" s="25">
        <v>72</v>
      </c>
      <c r="F31" s="107">
        <v>4.9000000000000004</v>
      </c>
      <c r="G31" s="108">
        <f t="shared" si="0"/>
        <v>352.8</v>
      </c>
    </row>
    <row r="32" spans="1:11">
      <c r="A32" s="130"/>
      <c r="B32" s="110"/>
      <c r="C32" s="36"/>
      <c r="D32" s="111"/>
      <c r="E32" s="111"/>
      <c r="F32" s="107"/>
      <c r="G32" s="108"/>
    </row>
    <row r="33" spans="1:7">
      <c r="A33" s="130" t="s">
        <v>91</v>
      </c>
      <c r="B33" s="110" t="s">
        <v>101</v>
      </c>
      <c r="C33" s="36" t="s">
        <v>103</v>
      </c>
      <c r="D33" s="25" t="s">
        <v>102</v>
      </c>
      <c r="E33" s="25">
        <v>336</v>
      </c>
      <c r="F33" s="107">
        <v>5.55</v>
      </c>
      <c r="G33" s="108">
        <f t="shared" si="0"/>
        <v>1864.8</v>
      </c>
    </row>
    <row r="34" spans="1:7">
      <c r="A34" s="130" t="s">
        <v>91</v>
      </c>
      <c r="B34" s="110" t="s">
        <v>104</v>
      </c>
      <c r="C34" s="36" t="s">
        <v>39</v>
      </c>
      <c r="D34" s="25" t="s">
        <v>99</v>
      </c>
      <c r="E34" s="25">
        <v>264</v>
      </c>
      <c r="F34" s="107">
        <v>5.88</v>
      </c>
      <c r="G34" s="108">
        <f t="shared" si="0"/>
        <v>1552.32</v>
      </c>
    </row>
    <row r="35" spans="1:7">
      <c r="A35" s="130"/>
      <c r="B35" s="25"/>
      <c r="C35" s="36"/>
      <c r="D35" s="25"/>
      <c r="E35" s="25"/>
      <c r="F35" s="107"/>
      <c r="G35" s="108"/>
    </row>
    <row r="36" spans="1:7">
      <c r="A36" s="130" t="s">
        <v>91</v>
      </c>
      <c r="B36" s="25">
        <v>15501</v>
      </c>
      <c r="C36" s="36" t="s">
        <v>107</v>
      </c>
      <c r="D36" s="25" t="s">
        <v>105</v>
      </c>
      <c r="E36" s="25">
        <v>216</v>
      </c>
      <c r="F36" s="107">
        <v>12</v>
      </c>
      <c r="G36" s="108">
        <f t="shared" si="0"/>
        <v>2592</v>
      </c>
    </row>
    <row r="37" spans="1:7">
      <c r="A37" s="130" t="s">
        <v>91</v>
      </c>
      <c r="B37" s="25" t="s">
        <v>108</v>
      </c>
      <c r="C37" s="27" t="s">
        <v>40</v>
      </c>
      <c r="D37" s="25" t="s">
        <v>106</v>
      </c>
      <c r="E37" s="25">
        <v>1200</v>
      </c>
      <c r="F37" s="107">
        <v>12</v>
      </c>
      <c r="G37" s="108">
        <f t="shared" si="0"/>
        <v>14400</v>
      </c>
    </row>
    <row r="38" spans="1:7">
      <c r="A38" s="130" t="s">
        <v>91</v>
      </c>
      <c r="B38" s="25">
        <v>15505</v>
      </c>
      <c r="C38" s="36"/>
      <c r="D38" s="25" t="s">
        <v>109</v>
      </c>
      <c r="E38" s="25">
        <v>600</v>
      </c>
      <c r="F38" s="107">
        <v>12.51</v>
      </c>
      <c r="G38" s="108">
        <f t="shared" si="0"/>
        <v>7506</v>
      </c>
    </row>
    <row r="39" spans="1:7">
      <c r="A39" s="130"/>
      <c r="B39" s="25"/>
      <c r="C39" s="36"/>
      <c r="D39" s="25"/>
      <c r="E39" s="25"/>
      <c r="F39" s="107"/>
      <c r="G39" s="108"/>
    </row>
    <row r="40" spans="1:7">
      <c r="A40" s="130" t="s">
        <v>91</v>
      </c>
      <c r="B40" s="115">
        <v>33955</v>
      </c>
      <c r="C40" s="100" t="s">
        <v>23</v>
      </c>
      <c r="D40" s="25" t="s">
        <v>105</v>
      </c>
      <c r="E40" s="25">
        <v>168</v>
      </c>
      <c r="F40" s="33">
        <v>3.8</v>
      </c>
      <c r="G40" s="108">
        <f t="shared" si="0"/>
        <v>638.4</v>
      </c>
    </row>
    <row r="41" spans="1:7">
      <c r="A41" s="130" t="s">
        <v>91</v>
      </c>
      <c r="B41" s="25">
        <v>33956</v>
      </c>
      <c r="C41" s="116" t="s">
        <v>44</v>
      </c>
      <c r="D41" s="25" t="s">
        <v>106</v>
      </c>
      <c r="E41" s="25">
        <v>144</v>
      </c>
      <c r="F41" s="33">
        <v>3.8</v>
      </c>
      <c r="G41" s="108">
        <f t="shared" si="0"/>
        <v>547.19999999999993</v>
      </c>
    </row>
    <row r="42" spans="1:7">
      <c r="A42" s="130"/>
      <c r="B42" s="25"/>
      <c r="C42" s="36"/>
      <c r="D42" s="25"/>
      <c r="E42" s="25"/>
      <c r="F42" s="33"/>
      <c r="G42" s="108"/>
    </row>
    <row r="43" spans="1:7">
      <c r="A43" s="130" t="s">
        <v>91</v>
      </c>
      <c r="B43" s="25">
        <v>40125</v>
      </c>
      <c r="C43" s="36" t="s">
        <v>111</v>
      </c>
      <c r="D43" s="25" t="s">
        <v>110</v>
      </c>
      <c r="E43" s="25">
        <v>72</v>
      </c>
      <c r="F43" s="33">
        <v>5.86</v>
      </c>
      <c r="G43" s="108">
        <f t="shared" si="0"/>
        <v>421.92</v>
      </c>
    </row>
    <row r="44" spans="1:7">
      <c r="A44" s="130" t="s">
        <v>91</v>
      </c>
      <c r="B44" s="25">
        <v>40126</v>
      </c>
      <c r="C44" s="36" t="s">
        <v>41</v>
      </c>
      <c r="D44" s="25" t="s">
        <v>112</v>
      </c>
      <c r="E44" s="25">
        <v>48</v>
      </c>
      <c r="F44" s="33">
        <v>6.21</v>
      </c>
      <c r="G44" s="108">
        <f t="shared" si="0"/>
        <v>298.08</v>
      </c>
    </row>
    <row r="45" spans="1:7">
      <c r="A45" s="130" t="s">
        <v>91</v>
      </c>
      <c r="B45" s="25">
        <v>40129</v>
      </c>
      <c r="C45" s="36"/>
      <c r="D45" s="25" t="s">
        <v>113</v>
      </c>
      <c r="E45" s="25">
        <v>72</v>
      </c>
      <c r="F45" s="33">
        <v>6.21</v>
      </c>
      <c r="G45" s="108">
        <f t="shared" si="0"/>
        <v>447.12</v>
      </c>
    </row>
    <row r="46" spans="1:7">
      <c r="A46" s="130"/>
      <c r="B46" s="25"/>
      <c r="C46" s="36"/>
      <c r="D46" s="25"/>
      <c r="E46" s="25"/>
      <c r="F46" s="33"/>
      <c r="G46" s="108"/>
    </row>
    <row r="47" spans="1:7">
      <c r="A47" s="130" t="s">
        <v>91</v>
      </c>
      <c r="B47" s="25">
        <v>44215</v>
      </c>
      <c r="C47" s="36" t="s">
        <v>114</v>
      </c>
      <c r="D47" s="25" t="s">
        <v>110</v>
      </c>
      <c r="E47" s="25">
        <v>72</v>
      </c>
      <c r="F47" s="33">
        <v>2.72</v>
      </c>
      <c r="G47" s="108">
        <f t="shared" si="0"/>
        <v>195.84</v>
      </c>
    </row>
    <row r="48" spans="1:7">
      <c r="A48" s="130" t="s">
        <v>91</v>
      </c>
      <c r="B48" s="25">
        <v>44217</v>
      </c>
      <c r="C48" s="112" t="s">
        <v>42</v>
      </c>
      <c r="D48" s="25" t="s">
        <v>115</v>
      </c>
      <c r="E48" s="25">
        <v>120</v>
      </c>
      <c r="F48" s="33">
        <v>2.9</v>
      </c>
      <c r="G48" s="108">
        <f t="shared" si="0"/>
        <v>348</v>
      </c>
    </row>
    <row r="49" spans="1:7">
      <c r="A49" s="130" t="s">
        <v>91</v>
      </c>
      <c r="B49" s="25">
        <v>44218</v>
      </c>
      <c r="C49" s="36"/>
      <c r="D49" s="25" t="s">
        <v>116</v>
      </c>
      <c r="E49" s="25">
        <v>72</v>
      </c>
      <c r="F49" s="33">
        <v>2.9</v>
      </c>
      <c r="G49" s="108">
        <f t="shared" si="0"/>
        <v>208.79999999999998</v>
      </c>
    </row>
    <row r="50" spans="1:7">
      <c r="A50" s="130"/>
      <c r="B50" s="25"/>
      <c r="C50" s="36"/>
      <c r="D50" s="25"/>
      <c r="E50" s="25"/>
      <c r="F50" s="33"/>
      <c r="G50" s="108"/>
    </row>
    <row r="51" spans="1:7">
      <c r="A51" s="130" t="s">
        <v>91</v>
      </c>
      <c r="B51" s="25">
        <v>67652</v>
      </c>
      <c r="C51" s="36" t="s">
        <v>21</v>
      </c>
      <c r="D51" s="25" t="s">
        <v>102</v>
      </c>
      <c r="E51" s="25">
        <v>336</v>
      </c>
      <c r="F51" s="33">
        <v>4.0999999999999996</v>
      </c>
      <c r="G51" s="108">
        <f t="shared" si="0"/>
        <v>1377.6</v>
      </c>
    </row>
    <row r="52" spans="1:7">
      <c r="A52" s="130" t="s">
        <v>91</v>
      </c>
      <c r="B52" s="25">
        <v>67653</v>
      </c>
      <c r="C52" s="116" t="s">
        <v>43</v>
      </c>
      <c r="D52" s="25" t="s">
        <v>99</v>
      </c>
      <c r="E52" s="25">
        <v>168</v>
      </c>
      <c r="F52" s="33">
        <v>4.3099999999999996</v>
      </c>
      <c r="G52" s="108">
        <f t="shared" si="0"/>
        <v>724.07999999999993</v>
      </c>
    </row>
    <row r="53" spans="1:7">
      <c r="A53" s="130"/>
      <c r="B53" s="25"/>
      <c r="C53" s="36"/>
      <c r="D53" s="25"/>
      <c r="E53" s="25"/>
      <c r="F53" s="36"/>
      <c r="G53" s="108"/>
    </row>
    <row r="54" spans="1:7">
      <c r="A54" s="130" t="s">
        <v>117</v>
      </c>
      <c r="B54" s="31">
        <v>15501</v>
      </c>
      <c r="C54" s="36" t="s">
        <v>118</v>
      </c>
      <c r="D54" s="25" t="s">
        <v>105</v>
      </c>
      <c r="E54" s="25">
        <v>144</v>
      </c>
      <c r="F54" s="33">
        <v>12</v>
      </c>
      <c r="G54" s="108">
        <f t="shared" si="0"/>
        <v>1728</v>
      </c>
    </row>
    <row r="55" spans="1:7">
      <c r="A55" s="130" t="s">
        <v>117</v>
      </c>
      <c r="B55" s="31" t="s">
        <v>108</v>
      </c>
      <c r="C55" s="27" t="s">
        <v>40</v>
      </c>
      <c r="D55" s="25" t="s">
        <v>106</v>
      </c>
      <c r="E55" s="25">
        <v>1380</v>
      </c>
      <c r="F55" s="33">
        <v>12</v>
      </c>
      <c r="G55" s="108">
        <f t="shared" si="0"/>
        <v>16560</v>
      </c>
    </row>
    <row r="56" spans="1:7">
      <c r="A56" s="130" t="s">
        <v>117</v>
      </c>
      <c r="B56" s="31">
        <v>15505</v>
      </c>
      <c r="C56" s="36"/>
      <c r="D56" s="25" t="s">
        <v>109</v>
      </c>
      <c r="E56" s="25">
        <v>720</v>
      </c>
      <c r="F56" s="33">
        <v>12.51</v>
      </c>
      <c r="G56" s="108">
        <f t="shared" si="0"/>
        <v>9007.2000000000007</v>
      </c>
    </row>
    <row r="57" spans="1:7" ht="14.4" thickBot="1">
      <c r="A57" s="138"/>
      <c r="B57" s="139"/>
      <c r="C57" s="140"/>
      <c r="D57" s="139"/>
      <c r="E57" s="139"/>
      <c r="F57" s="141"/>
      <c r="G57" s="142"/>
    </row>
    <row r="58" spans="1:7">
      <c r="A58" s="132" t="s">
        <v>117</v>
      </c>
      <c r="B58" s="133">
        <v>44215</v>
      </c>
      <c r="C58" s="134" t="s">
        <v>120</v>
      </c>
      <c r="D58" s="135" t="s">
        <v>119</v>
      </c>
      <c r="E58" s="135">
        <v>72</v>
      </c>
      <c r="F58" s="136">
        <v>2.72</v>
      </c>
      <c r="G58" s="137">
        <f t="shared" si="0"/>
        <v>195.84</v>
      </c>
    </row>
    <row r="59" spans="1:7">
      <c r="A59" s="130" t="s">
        <v>117</v>
      </c>
      <c r="B59" s="31">
        <v>44216</v>
      </c>
      <c r="C59" s="112" t="s">
        <v>42</v>
      </c>
      <c r="D59" s="25" t="s">
        <v>121</v>
      </c>
      <c r="E59" s="25">
        <v>120</v>
      </c>
      <c r="F59" s="33">
        <v>2.9</v>
      </c>
      <c r="G59" s="108">
        <f t="shared" si="0"/>
        <v>348</v>
      </c>
    </row>
    <row r="60" spans="1:7">
      <c r="A60" s="130" t="s">
        <v>117</v>
      </c>
      <c r="B60" s="31">
        <v>44217</v>
      </c>
      <c r="C60" s="36"/>
      <c r="D60" s="25" t="s">
        <v>122</v>
      </c>
      <c r="E60" s="25">
        <v>120</v>
      </c>
      <c r="F60" s="33">
        <v>2.9</v>
      </c>
      <c r="G60" s="108">
        <f t="shared" si="0"/>
        <v>348</v>
      </c>
    </row>
    <row r="61" spans="1:7">
      <c r="A61" s="130" t="s">
        <v>117</v>
      </c>
      <c r="B61" s="31">
        <v>44218</v>
      </c>
      <c r="C61" s="36"/>
      <c r="D61" s="25" t="s">
        <v>123</v>
      </c>
      <c r="E61" s="25">
        <v>96</v>
      </c>
      <c r="F61" s="33">
        <v>2.9</v>
      </c>
      <c r="G61" s="108">
        <f t="shared" si="0"/>
        <v>278.39999999999998</v>
      </c>
    </row>
    <row r="62" spans="1:7" ht="14.4" thickBot="1">
      <c r="A62" s="67"/>
      <c r="B62" s="68"/>
      <c r="C62" s="90"/>
      <c r="D62" s="91" t="s">
        <v>13</v>
      </c>
      <c r="E62" s="92">
        <f>SUM(E25:E61)</f>
        <v>7404</v>
      </c>
      <c r="F62" s="93"/>
      <c r="G62" s="94">
        <f>SUM(G25:G61)</f>
        <v>64141.200000000004</v>
      </c>
    </row>
    <row r="63" spans="1:7" ht="14.4" thickBot="1">
      <c r="A63" s="67" t="s">
        <v>14</v>
      </c>
      <c r="B63" s="68"/>
      <c r="C63" s="75"/>
      <c r="D63" s="76"/>
      <c r="E63" s="77"/>
      <c r="F63" s="65"/>
      <c r="G63" s="78"/>
    </row>
    <row r="64" spans="1:7">
      <c r="A64" s="81" t="s">
        <v>15</v>
      </c>
      <c r="B64" s="97"/>
      <c r="C64" s="100"/>
      <c r="D64" s="97"/>
      <c r="E64" s="82" t="s">
        <v>161</v>
      </c>
      <c r="F64" s="61"/>
      <c r="G64" s="127">
        <v>0.05</v>
      </c>
    </row>
    <row r="65" spans="1:7">
      <c r="A65" s="81" t="s">
        <v>46</v>
      </c>
      <c r="B65" s="97"/>
      <c r="C65" s="100"/>
      <c r="D65" s="97"/>
      <c r="E65" s="81" t="s">
        <v>162</v>
      </c>
      <c r="F65" s="98"/>
      <c r="G65" s="69">
        <v>92.55</v>
      </c>
    </row>
    <row r="66" spans="1:7">
      <c r="A66" s="81"/>
      <c r="B66" s="97"/>
      <c r="C66" s="100"/>
      <c r="D66" s="97"/>
      <c r="E66" s="81" t="s">
        <v>163</v>
      </c>
      <c r="F66" s="98"/>
      <c r="G66" s="69">
        <f>G62*G65</f>
        <v>5936268.0600000005</v>
      </c>
    </row>
    <row r="67" spans="1:7" ht="14.4" thickBot="1">
      <c r="A67" s="131" t="s">
        <v>155</v>
      </c>
      <c r="B67" s="97" t="s">
        <v>158</v>
      </c>
      <c r="C67" s="100"/>
      <c r="D67" s="97"/>
      <c r="E67" s="101" t="s">
        <v>164</v>
      </c>
      <c r="F67" s="65"/>
      <c r="G67" s="66">
        <f>G66*G64</f>
        <v>296813.40300000005</v>
      </c>
    </row>
    <row r="68" spans="1:7" ht="14.4" thickBot="1">
      <c r="A68" s="131" t="s">
        <v>156</v>
      </c>
      <c r="B68" s="97" t="s">
        <v>159</v>
      </c>
      <c r="C68" s="100"/>
      <c r="D68" s="97"/>
      <c r="E68" s="97"/>
      <c r="F68" s="98"/>
      <c r="G68" s="69"/>
    </row>
    <row r="69" spans="1:7">
      <c r="A69" s="131" t="s">
        <v>157</v>
      </c>
      <c r="B69" s="97" t="s">
        <v>160</v>
      </c>
      <c r="C69" s="100"/>
      <c r="D69" s="79"/>
      <c r="E69" s="60"/>
      <c r="F69" s="61"/>
      <c r="G69" s="62"/>
    </row>
    <row r="70" spans="1:7">
      <c r="A70" s="81"/>
      <c r="B70" s="97"/>
      <c r="C70" s="100"/>
      <c r="D70" s="80"/>
      <c r="E70" s="97"/>
      <c r="F70" s="98"/>
      <c r="G70" s="69"/>
    </row>
    <row r="71" spans="1:7">
      <c r="A71" s="81" t="s">
        <v>16</v>
      </c>
      <c r="B71" s="97"/>
      <c r="C71" s="100"/>
      <c r="D71" s="80"/>
      <c r="E71" s="97"/>
      <c r="F71" s="98"/>
      <c r="G71" s="69"/>
    </row>
    <row r="72" spans="1:7">
      <c r="A72" s="81" t="s">
        <v>17</v>
      </c>
      <c r="B72" s="97"/>
      <c r="C72" s="100"/>
      <c r="D72" s="80"/>
      <c r="E72" s="97"/>
      <c r="F72" s="98"/>
      <c r="G72" s="69"/>
    </row>
    <row r="73" spans="1:7" ht="14.4" thickBot="1">
      <c r="A73" s="81" t="s">
        <v>18</v>
      </c>
      <c r="B73" s="68"/>
      <c r="C73" s="75"/>
      <c r="D73" s="67"/>
      <c r="E73" s="68"/>
      <c r="F73" s="65"/>
      <c r="G73" s="66"/>
    </row>
    <row r="74" spans="1:7" ht="51" customHeight="1" thickBot="1">
      <c r="A74" s="144" t="s">
        <v>19</v>
      </c>
      <c r="B74" s="145"/>
      <c r="C74" s="145"/>
      <c r="D74" s="145"/>
      <c r="E74" s="145"/>
      <c r="F74" s="145"/>
      <c r="G74" s="146"/>
    </row>
  </sheetData>
  <mergeCells count="1">
    <mergeCell ref="A74:G74"/>
  </mergeCells>
  <phoneticPr fontId="14" type="noConversion"/>
  <pageMargins left="0.7" right="0.7" top="0.75" bottom="0.75" header="0.3" footer="0.3"/>
  <pageSetup paperSize="9" scale="84" orientation="portrait" verticalDpi="1200" r:id="rId1"/>
  <rowBreaks count="1" manualBreakCount="1">
    <brk id="57" max="16383" man="1"/>
  </rowBreaks>
  <drawing r:id="rId2"/>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R50"/>
  <sheetViews>
    <sheetView tabSelected="1" topLeftCell="A22" zoomScaleNormal="100" workbookViewId="0">
      <selection activeCell="M45" sqref="M45:M48"/>
    </sheetView>
  </sheetViews>
  <sheetFormatPr defaultColWidth="8.88671875" defaultRowHeight="13.8"/>
  <cols>
    <col min="1" max="1" width="8.88671875" style="6"/>
    <col min="2" max="2" width="8.88671875" style="6" customWidth="1"/>
    <col min="3" max="3" width="7.109375" style="6" customWidth="1"/>
    <col min="4" max="4" width="44" style="6" customWidth="1"/>
    <col min="5" max="5" width="9.33203125" style="6" customWidth="1"/>
    <col min="6" max="6" width="7.88671875" style="5" customWidth="1"/>
    <col min="7" max="7" width="5.44140625" style="6" customWidth="1"/>
    <col min="8" max="8" width="5.33203125" style="6" customWidth="1"/>
    <col min="9" max="9" width="8.88671875" style="5"/>
    <col min="10" max="10" width="7.88671875" style="5" customWidth="1"/>
    <col min="11" max="11" width="8.88671875" style="5"/>
    <col min="12" max="12" width="10.33203125" style="5" customWidth="1"/>
    <col min="13" max="13" width="12.44140625" style="5" customWidth="1"/>
    <col min="14" max="14" width="7.109375" style="5" customWidth="1"/>
    <col min="15" max="15" width="7.44140625" style="5" customWidth="1"/>
    <col min="16" max="17" width="6.33203125" style="5" customWidth="1"/>
    <col min="18" max="18" width="8.44140625" style="5" customWidth="1"/>
    <col min="19" max="16384" width="8.88671875" style="6"/>
  </cols>
  <sheetData>
    <row r="1" spans="1:18" ht="18">
      <c r="A1" s="1" t="s">
        <v>60</v>
      </c>
      <c r="B1" s="2"/>
      <c r="C1" s="2"/>
      <c r="D1" s="143" t="s">
        <v>61</v>
      </c>
      <c r="E1" s="3"/>
      <c r="F1" s="4"/>
      <c r="G1" s="2"/>
      <c r="H1" s="2"/>
      <c r="I1" s="4"/>
      <c r="J1" s="4"/>
      <c r="K1" s="4"/>
      <c r="L1" s="4"/>
      <c r="M1" s="4"/>
      <c r="N1" s="4"/>
      <c r="O1" s="4"/>
      <c r="P1" s="4"/>
      <c r="Q1" s="4"/>
      <c r="R1" s="4"/>
    </row>
    <row r="2" spans="1:18">
      <c r="A2" s="2" t="s">
        <v>62</v>
      </c>
      <c r="B2" s="2"/>
      <c r="C2" s="2"/>
      <c r="D2" s="2"/>
      <c r="E2" s="2"/>
      <c r="F2" s="4"/>
      <c r="G2" s="2"/>
      <c r="H2" s="2"/>
      <c r="I2" s="4"/>
      <c r="J2" s="4"/>
      <c r="K2" s="4"/>
      <c r="L2" s="4"/>
      <c r="M2" s="4"/>
      <c r="N2" s="4"/>
      <c r="O2" s="4"/>
      <c r="P2" s="4"/>
      <c r="Q2" s="4"/>
      <c r="R2" s="4"/>
    </row>
    <row r="3" spans="1:18">
      <c r="A3" s="3" t="s">
        <v>63</v>
      </c>
      <c r="B3" s="2"/>
      <c r="C3" s="2"/>
      <c r="D3" s="2"/>
      <c r="E3" s="2"/>
      <c r="F3" s="4"/>
      <c r="G3" s="2"/>
      <c r="H3" s="2"/>
      <c r="I3" s="4"/>
      <c r="J3" s="7"/>
      <c r="K3" s="4"/>
      <c r="L3" s="4" t="s">
        <v>64</v>
      </c>
      <c r="M3" s="95" t="s">
        <v>146</v>
      </c>
      <c r="N3" s="4"/>
      <c r="O3" s="4"/>
      <c r="P3" s="4"/>
      <c r="Q3" s="4"/>
      <c r="R3" s="4"/>
    </row>
    <row r="4" spans="1:18" ht="14.25" customHeight="1">
      <c r="A4" s="3" t="s">
        <v>65</v>
      </c>
      <c r="B4" s="2"/>
      <c r="C4" s="2"/>
      <c r="D4" s="2"/>
      <c r="E4" s="2"/>
      <c r="F4" s="4" t="s">
        <v>66</v>
      </c>
      <c r="G4" s="2"/>
      <c r="H4" s="2"/>
      <c r="I4" s="4"/>
      <c r="J4" s="4"/>
      <c r="K4" s="4"/>
      <c r="L4" s="4" t="s">
        <v>67</v>
      </c>
      <c r="M4" s="8" t="s">
        <v>145</v>
      </c>
      <c r="N4" s="4"/>
      <c r="O4" s="4"/>
      <c r="P4" s="4"/>
      <c r="Q4" s="4"/>
      <c r="R4" s="4"/>
    </row>
    <row r="5" spans="1:18">
      <c r="A5" s="3" t="s">
        <v>68</v>
      </c>
      <c r="B5" s="2"/>
      <c r="C5" s="2"/>
      <c r="D5" s="2"/>
      <c r="E5" s="2"/>
      <c r="F5" s="4"/>
      <c r="G5" s="2"/>
      <c r="H5" s="2"/>
      <c r="I5" s="4"/>
      <c r="J5" s="4"/>
      <c r="K5" s="4"/>
      <c r="L5" s="4"/>
      <c r="M5" s="4"/>
      <c r="N5" s="4"/>
      <c r="O5" s="4"/>
      <c r="P5" s="4"/>
      <c r="Q5" s="4"/>
      <c r="R5" s="4"/>
    </row>
    <row r="6" spans="1:18">
      <c r="A6" s="3" t="s">
        <v>69</v>
      </c>
      <c r="B6" s="2"/>
      <c r="C6" s="2"/>
      <c r="D6" s="2"/>
      <c r="E6" s="2"/>
      <c r="F6" s="4"/>
      <c r="G6" s="2"/>
      <c r="H6" s="2"/>
      <c r="I6" s="4"/>
      <c r="J6" s="4"/>
      <c r="K6" s="4"/>
      <c r="L6" s="4"/>
      <c r="M6" s="4"/>
      <c r="N6" s="4"/>
      <c r="O6" s="4"/>
      <c r="P6" s="4"/>
      <c r="Q6" s="4"/>
      <c r="R6" s="4"/>
    </row>
    <row r="7" spans="1:18">
      <c r="A7" s="3" t="s">
        <v>70</v>
      </c>
      <c r="B7" s="2"/>
      <c r="C7" s="2"/>
      <c r="D7" s="2"/>
      <c r="E7" s="2"/>
      <c r="F7" s="4"/>
      <c r="G7" s="2"/>
      <c r="H7" s="2"/>
      <c r="I7" s="4"/>
      <c r="J7" s="4"/>
      <c r="K7" s="4"/>
      <c r="L7" s="4"/>
      <c r="M7" s="4"/>
      <c r="N7" s="4"/>
      <c r="O7" s="4"/>
      <c r="P7" s="4"/>
      <c r="Q7" s="4"/>
      <c r="R7" s="4"/>
    </row>
    <row r="8" spans="1:18">
      <c r="A8" s="3" t="s">
        <v>71</v>
      </c>
      <c r="B8" s="2"/>
      <c r="C8" s="2"/>
      <c r="D8" s="2"/>
      <c r="E8" s="2"/>
      <c r="F8" s="4"/>
      <c r="G8" s="2"/>
      <c r="H8" s="2"/>
      <c r="I8" s="4"/>
      <c r="J8" s="4"/>
      <c r="K8" s="4"/>
      <c r="L8" s="4"/>
      <c r="M8" s="4"/>
      <c r="N8" s="4"/>
      <c r="O8" s="4"/>
      <c r="P8" s="4"/>
      <c r="Q8" s="4"/>
      <c r="R8" s="4"/>
    </row>
    <row r="9" spans="1:18">
      <c r="A9" s="3">
        <v>6</v>
      </c>
      <c r="B9" s="2"/>
      <c r="C9" s="2"/>
      <c r="D9" s="2"/>
      <c r="E9" s="2"/>
      <c r="F9" s="4"/>
      <c r="G9" s="2"/>
      <c r="H9" s="2"/>
      <c r="I9" s="4"/>
      <c r="J9" s="4"/>
      <c r="K9" s="4"/>
      <c r="L9" s="4"/>
      <c r="M9" s="4"/>
      <c r="N9" s="4"/>
      <c r="O9" s="4"/>
      <c r="P9" s="4"/>
      <c r="Q9" s="4"/>
      <c r="R9" s="4"/>
    </row>
    <row r="10" spans="1:18" ht="14.4" thickBot="1">
      <c r="A10" s="2" t="s">
        <v>72</v>
      </c>
      <c r="B10" s="2"/>
      <c r="C10" s="2"/>
      <c r="D10" s="2"/>
      <c r="E10" s="2"/>
      <c r="F10" s="4"/>
      <c r="G10" s="2"/>
      <c r="H10" s="2"/>
      <c r="I10" s="4"/>
      <c r="J10" s="4"/>
      <c r="K10" s="4"/>
      <c r="L10" s="4"/>
      <c r="M10" s="4"/>
      <c r="N10" s="4"/>
      <c r="O10" s="4"/>
      <c r="P10" s="4"/>
      <c r="Q10" s="4"/>
      <c r="R10" s="4"/>
    </row>
    <row r="11" spans="1:18" ht="61.5" customHeight="1">
      <c r="A11" s="9" t="s">
        <v>73</v>
      </c>
      <c r="B11" s="10" t="s">
        <v>74</v>
      </c>
      <c r="C11" s="11" t="s">
        <v>75</v>
      </c>
      <c r="D11" s="12" t="s">
        <v>76</v>
      </c>
      <c r="E11" s="13" t="s">
        <v>77</v>
      </c>
      <c r="F11" s="14" t="s">
        <v>78</v>
      </c>
      <c r="G11" s="11" t="s">
        <v>79</v>
      </c>
      <c r="H11" s="10" t="s">
        <v>80</v>
      </c>
      <c r="I11" s="15" t="s">
        <v>154</v>
      </c>
      <c r="J11" s="16" t="s">
        <v>81</v>
      </c>
      <c r="K11" s="17" t="s">
        <v>82</v>
      </c>
      <c r="L11" s="18" t="s">
        <v>83</v>
      </c>
      <c r="M11" s="19" t="s">
        <v>84</v>
      </c>
      <c r="N11" s="20" t="s">
        <v>85</v>
      </c>
      <c r="O11" s="21" t="s">
        <v>86</v>
      </c>
      <c r="P11" s="22" t="s">
        <v>87</v>
      </c>
      <c r="Q11" s="23" t="s">
        <v>88</v>
      </c>
      <c r="R11" s="23" t="s">
        <v>89</v>
      </c>
    </row>
    <row r="12" spans="1:18">
      <c r="A12" s="24" t="s">
        <v>90</v>
      </c>
      <c r="B12" s="25"/>
      <c r="C12" s="26" t="s">
        <v>91</v>
      </c>
      <c r="D12" s="26" t="s">
        <v>92</v>
      </c>
      <c r="E12" s="27" t="s">
        <v>24</v>
      </c>
      <c r="F12" s="28">
        <v>10</v>
      </c>
      <c r="G12" s="29">
        <v>6</v>
      </c>
      <c r="H12" s="29">
        <v>8</v>
      </c>
      <c r="I12" s="25">
        <v>480</v>
      </c>
      <c r="J12" s="25">
        <v>6.26</v>
      </c>
      <c r="K12" s="25">
        <f>J12*F12</f>
        <v>62.599999999999994</v>
      </c>
      <c r="L12" s="25">
        <v>7.13</v>
      </c>
      <c r="M12" s="25">
        <f>SUM(L12*F12)</f>
        <v>71.3</v>
      </c>
      <c r="N12" s="30">
        <v>0.62</v>
      </c>
      <c r="O12" s="31">
        <v>0.42</v>
      </c>
      <c r="P12" s="28">
        <v>0.18</v>
      </c>
      <c r="Q12" s="32">
        <f>N12*O12*P12</f>
        <v>4.687199999999999E-2</v>
      </c>
      <c r="R12" s="33">
        <f>Q12*F12</f>
        <v>0.46871999999999991</v>
      </c>
    </row>
    <row r="13" spans="1:18">
      <c r="A13" s="34"/>
      <c r="B13" s="25"/>
      <c r="C13" s="26"/>
      <c r="D13" s="38" t="s">
        <v>37</v>
      </c>
      <c r="E13" s="27"/>
      <c r="F13" s="28"/>
      <c r="G13" s="29"/>
      <c r="H13" s="29"/>
      <c r="I13" s="25"/>
      <c r="J13" s="25"/>
      <c r="K13" s="25"/>
      <c r="L13" s="25"/>
      <c r="M13" s="25"/>
      <c r="N13" s="30"/>
      <c r="O13" s="30"/>
      <c r="P13" s="28"/>
      <c r="Q13" s="32"/>
      <c r="R13" s="33"/>
    </row>
    <row r="14" spans="1:18">
      <c r="A14" s="34"/>
      <c r="B14" s="25"/>
      <c r="C14" s="26"/>
      <c r="D14" s="38"/>
      <c r="E14" s="27"/>
      <c r="F14" s="28"/>
      <c r="G14" s="29"/>
      <c r="H14" s="29"/>
      <c r="I14" s="25"/>
      <c r="J14" s="25"/>
      <c r="K14" s="25"/>
      <c r="L14" s="25"/>
      <c r="M14" s="25"/>
      <c r="N14" s="30"/>
      <c r="O14" s="30"/>
      <c r="P14" s="28"/>
      <c r="Q14" s="32"/>
      <c r="R14" s="33"/>
    </row>
    <row r="15" spans="1:18">
      <c r="A15" s="34" t="s">
        <v>93</v>
      </c>
      <c r="B15" s="35" t="s">
        <v>94</v>
      </c>
      <c r="C15" s="26" t="s">
        <v>91</v>
      </c>
      <c r="D15" s="36" t="s">
        <v>95</v>
      </c>
      <c r="E15" s="27" t="s">
        <v>25</v>
      </c>
      <c r="F15" s="28">
        <f>SUM(I15/H15)</f>
        <v>8</v>
      </c>
      <c r="G15" s="29">
        <v>1</v>
      </c>
      <c r="H15" s="29">
        <v>12</v>
      </c>
      <c r="I15" s="35">
        <v>96</v>
      </c>
      <c r="J15" s="37">
        <v>7.08</v>
      </c>
      <c r="K15" s="25">
        <f t="shared" ref="K15:K18" si="0">J15*F15</f>
        <v>56.64</v>
      </c>
      <c r="L15" s="37">
        <v>8.18</v>
      </c>
      <c r="M15" s="25">
        <f t="shared" ref="M15:M18" si="1">SUM(L15*F15)</f>
        <v>65.44</v>
      </c>
      <c r="N15" s="30">
        <v>0.76</v>
      </c>
      <c r="O15" s="31">
        <v>0.42</v>
      </c>
      <c r="P15" s="28">
        <v>0.22</v>
      </c>
      <c r="Q15" s="32">
        <f t="shared" ref="Q15:Q18" si="2">N15*O15*P15</f>
        <v>7.0223999999999995E-2</v>
      </c>
      <c r="R15" s="33">
        <f t="shared" ref="R15:R29" si="3">Q15*F15</f>
        <v>0.56179199999999996</v>
      </c>
    </row>
    <row r="16" spans="1:18">
      <c r="A16" s="34" t="s">
        <v>96</v>
      </c>
      <c r="B16" s="35" t="s">
        <v>97</v>
      </c>
      <c r="C16" s="26" t="s">
        <v>91</v>
      </c>
      <c r="D16" s="38" t="s">
        <v>38</v>
      </c>
      <c r="E16" s="39" t="s">
        <v>26</v>
      </c>
      <c r="F16" s="28">
        <f t="shared" ref="F16:F29" si="4">SUM(I16/H16)</f>
        <v>12</v>
      </c>
      <c r="G16" s="29">
        <v>1</v>
      </c>
      <c r="H16" s="29">
        <v>12</v>
      </c>
      <c r="I16" s="35">
        <v>144</v>
      </c>
      <c r="J16" s="25">
        <v>7.15</v>
      </c>
      <c r="K16" s="25">
        <f t="shared" si="0"/>
        <v>85.800000000000011</v>
      </c>
      <c r="L16" s="35">
        <v>8.25</v>
      </c>
      <c r="M16" s="25">
        <f t="shared" si="1"/>
        <v>99</v>
      </c>
      <c r="N16" s="30">
        <v>0.76</v>
      </c>
      <c r="O16" s="31">
        <v>0.42</v>
      </c>
      <c r="P16" s="28">
        <v>0.22</v>
      </c>
      <c r="Q16" s="32">
        <f t="shared" si="2"/>
        <v>7.0223999999999995E-2</v>
      </c>
      <c r="R16" s="33">
        <f t="shared" si="3"/>
        <v>0.84268799999999988</v>
      </c>
    </row>
    <row r="17" spans="1:18">
      <c r="A17" s="34" t="s">
        <v>98</v>
      </c>
      <c r="B17" s="35" t="s">
        <v>99</v>
      </c>
      <c r="C17" s="26" t="s">
        <v>91</v>
      </c>
      <c r="D17" s="38"/>
      <c r="E17" s="39" t="s">
        <v>27</v>
      </c>
      <c r="F17" s="28">
        <f t="shared" si="4"/>
        <v>6</v>
      </c>
      <c r="G17" s="29">
        <v>1</v>
      </c>
      <c r="H17" s="29">
        <v>12</v>
      </c>
      <c r="I17" s="35">
        <v>72</v>
      </c>
      <c r="J17" s="35">
        <v>7.22</v>
      </c>
      <c r="K17" s="25">
        <f t="shared" si="0"/>
        <v>43.32</v>
      </c>
      <c r="L17" s="35">
        <v>8.32</v>
      </c>
      <c r="M17" s="25">
        <f t="shared" si="1"/>
        <v>49.92</v>
      </c>
      <c r="N17" s="30">
        <v>0.76</v>
      </c>
      <c r="O17" s="31">
        <v>0.42</v>
      </c>
      <c r="P17" s="28">
        <v>0.22</v>
      </c>
      <c r="Q17" s="32">
        <f t="shared" si="2"/>
        <v>7.0223999999999995E-2</v>
      </c>
      <c r="R17" s="33">
        <f t="shared" si="3"/>
        <v>0.42134399999999994</v>
      </c>
    </row>
    <row r="18" spans="1:18">
      <c r="A18" s="40" t="s">
        <v>100</v>
      </c>
      <c r="B18" s="35" t="s">
        <v>20</v>
      </c>
      <c r="C18" s="26" t="s">
        <v>91</v>
      </c>
      <c r="D18" s="38"/>
      <c r="E18" s="39" t="s">
        <v>28</v>
      </c>
      <c r="F18" s="28">
        <f t="shared" si="4"/>
        <v>6</v>
      </c>
      <c r="G18" s="29">
        <v>1</v>
      </c>
      <c r="H18" s="29">
        <v>12</v>
      </c>
      <c r="I18" s="35">
        <v>72</v>
      </c>
      <c r="J18" s="35">
        <v>7.29</v>
      </c>
      <c r="K18" s="25">
        <f t="shared" si="0"/>
        <v>43.74</v>
      </c>
      <c r="L18" s="35">
        <v>8.39</v>
      </c>
      <c r="M18" s="25">
        <f t="shared" si="1"/>
        <v>50.34</v>
      </c>
      <c r="N18" s="30">
        <v>0.76</v>
      </c>
      <c r="O18" s="31">
        <v>0.42</v>
      </c>
      <c r="P18" s="28">
        <v>0.22</v>
      </c>
      <c r="Q18" s="32">
        <f t="shared" si="2"/>
        <v>7.0223999999999995E-2</v>
      </c>
      <c r="R18" s="33">
        <f t="shared" si="3"/>
        <v>0.42134399999999994</v>
      </c>
    </row>
    <row r="19" spans="1:18">
      <c r="A19" s="40"/>
      <c r="B19" s="41"/>
      <c r="C19" s="26"/>
      <c r="D19" s="26"/>
      <c r="E19" s="27"/>
      <c r="F19" s="28"/>
      <c r="G19" s="39"/>
      <c r="H19" s="39"/>
      <c r="I19" s="42"/>
      <c r="J19" s="43"/>
      <c r="K19" s="44"/>
      <c r="L19" s="43"/>
      <c r="M19" s="44"/>
      <c r="N19" s="30"/>
      <c r="O19" s="31"/>
      <c r="P19" s="28"/>
      <c r="Q19" s="32"/>
      <c r="R19" s="33"/>
    </row>
    <row r="20" spans="1:18">
      <c r="A20" s="46" t="s">
        <v>101</v>
      </c>
      <c r="B20" s="35" t="s">
        <v>102</v>
      </c>
      <c r="C20" s="26" t="s">
        <v>91</v>
      </c>
      <c r="D20" s="26" t="s">
        <v>103</v>
      </c>
      <c r="E20" s="27" t="s">
        <v>29</v>
      </c>
      <c r="F20" s="28">
        <v>14</v>
      </c>
      <c r="G20" s="39">
        <v>4</v>
      </c>
      <c r="H20" s="39">
        <v>6</v>
      </c>
      <c r="I20" s="35">
        <v>336</v>
      </c>
      <c r="J20" s="25">
        <v>13.54</v>
      </c>
      <c r="K20" s="31">
        <f t="shared" ref="K20:K21" si="5">F20*J20</f>
        <v>189.56</v>
      </c>
      <c r="L20" s="25">
        <v>35.090000000000003</v>
      </c>
      <c r="M20" s="31">
        <f t="shared" ref="M20:M21" si="6">L20*F20</f>
        <v>491.26000000000005</v>
      </c>
      <c r="N20" s="25">
        <v>0.61</v>
      </c>
      <c r="O20" s="25">
        <v>0.42</v>
      </c>
      <c r="P20" s="25">
        <v>0.43</v>
      </c>
      <c r="Q20" s="32">
        <f t="shared" ref="Q20:Q21" si="7">N20*O20*P20</f>
        <v>0.11016599999999999</v>
      </c>
      <c r="R20" s="33">
        <f t="shared" si="3"/>
        <v>1.5423239999999998</v>
      </c>
    </row>
    <row r="21" spans="1:18">
      <c r="A21" s="40" t="s">
        <v>104</v>
      </c>
      <c r="B21" s="35" t="s">
        <v>99</v>
      </c>
      <c r="C21" s="26" t="s">
        <v>91</v>
      </c>
      <c r="D21" s="38" t="s">
        <v>39</v>
      </c>
      <c r="E21" s="27" t="s">
        <v>30</v>
      </c>
      <c r="F21" s="28">
        <v>11</v>
      </c>
      <c r="G21" s="39">
        <v>4</v>
      </c>
      <c r="H21" s="39">
        <v>6</v>
      </c>
      <c r="I21" s="35">
        <v>264</v>
      </c>
      <c r="J21" s="25">
        <v>13.54</v>
      </c>
      <c r="K21" s="31">
        <f t="shared" si="5"/>
        <v>148.94</v>
      </c>
      <c r="L21" s="25">
        <v>35.090000000000003</v>
      </c>
      <c r="M21" s="31">
        <f t="shared" si="6"/>
        <v>385.99</v>
      </c>
      <c r="N21" s="25">
        <v>0.61</v>
      </c>
      <c r="O21" s="25">
        <v>0.42</v>
      </c>
      <c r="P21" s="25">
        <v>0.43</v>
      </c>
      <c r="Q21" s="32">
        <f t="shared" si="7"/>
        <v>0.11016599999999999</v>
      </c>
      <c r="R21" s="33">
        <f t="shared" si="3"/>
        <v>1.2118259999999998</v>
      </c>
    </row>
    <row r="22" spans="1:18">
      <c r="A22" s="39"/>
      <c r="B22" s="35"/>
      <c r="C22" s="26"/>
      <c r="D22" s="26"/>
      <c r="E22" s="27"/>
      <c r="F22" s="28"/>
      <c r="G22" s="39"/>
      <c r="H22" s="39"/>
      <c r="I22" s="35"/>
      <c r="J22" s="45"/>
      <c r="K22" s="44"/>
      <c r="L22" s="45"/>
      <c r="M22" s="44"/>
      <c r="N22" s="25"/>
      <c r="O22" s="25"/>
      <c r="P22" s="32"/>
      <c r="Q22" s="32"/>
      <c r="R22" s="33"/>
    </row>
    <row r="23" spans="1:18">
      <c r="A23" s="39">
        <v>15501</v>
      </c>
      <c r="B23" s="26" t="s">
        <v>105</v>
      </c>
      <c r="C23" s="26" t="s">
        <v>91</v>
      </c>
      <c r="D23" s="26" t="s">
        <v>107</v>
      </c>
      <c r="E23" s="39" t="s">
        <v>31</v>
      </c>
      <c r="F23" s="28">
        <f t="shared" si="4"/>
        <v>36</v>
      </c>
      <c r="G23" s="39">
        <v>1</v>
      </c>
      <c r="H23" s="39">
        <v>6</v>
      </c>
      <c r="I23" s="35">
        <v>216</v>
      </c>
      <c r="J23" s="45">
        <v>8.64</v>
      </c>
      <c r="K23" s="44">
        <f>SUM(J23*F23)</f>
        <v>311.04000000000002</v>
      </c>
      <c r="L23" s="45">
        <v>9.9</v>
      </c>
      <c r="M23" s="44">
        <f>SUM(L23*F23)</f>
        <v>356.40000000000003</v>
      </c>
      <c r="N23" s="25">
        <v>0.8</v>
      </c>
      <c r="O23" s="25">
        <v>0.42</v>
      </c>
      <c r="P23" s="32">
        <v>0.23</v>
      </c>
      <c r="Q23" s="32">
        <f t="shared" ref="Q23:Q29" si="8">N23*O23*P23</f>
        <v>7.7280000000000001E-2</v>
      </c>
      <c r="R23" s="33">
        <f t="shared" si="3"/>
        <v>2.7820800000000001</v>
      </c>
    </row>
    <row r="24" spans="1:18">
      <c r="A24" s="39" t="s">
        <v>108</v>
      </c>
      <c r="B24" s="26" t="s">
        <v>106</v>
      </c>
      <c r="C24" s="26" t="s">
        <v>91</v>
      </c>
      <c r="D24" s="84" t="s">
        <v>40</v>
      </c>
      <c r="E24" s="39" t="s">
        <v>32</v>
      </c>
      <c r="F24" s="28">
        <f t="shared" si="4"/>
        <v>200</v>
      </c>
      <c r="G24" s="39">
        <v>1</v>
      </c>
      <c r="H24" s="39">
        <v>6</v>
      </c>
      <c r="I24" s="35">
        <v>1200</v>
      </c>
      <c r="J24" s="45">
        <v>8.64</v>
      </c>
      <c r="K24" s="44">
        <f>SUM(J24*F24)</f>
        <v>1728</v>
      </c>
      <c r="L24" s="45">
        <v>9.9</v>
      </c>
      <c r="M24" s="44">
        <f t="shared" ref="M24:M25" si="9">SUM(L24*F24)</f>
        <v>1980</v>
      </c>
      <c r="N24" s="25">
        <v>0.8</v>
      </c>
      <c r="O24" s="25">
        <v>0.42</v>
      </c>
      <c r="P24" s="32">
        <v>0.23</v>
      </c>
      <c r="Q24" s="32">
        <f t="shared" si="8"/>
        <v>7.7280000000000001E-2</v>
      </c>
      <c r="R24" s="33">
        <f t="shared" si="3"/>
        <v>15.456</v>
      </c>
    </row>
    <row r="25" spans="1:18">
      <c r="A25" s="39">
        <v>15505</v>
      </c>
      <c r="B25" s="26" t="s">
        <v>109</v>
      </c>
      <c r="C25" s="26" t="s">
        <v>91</v>
      </c>
      <c r="D25" s="26"/>
      <c r="E25" s="39" t="s">
        <v>33</v>
      </c>
      <c r="F25" s="28">
        <f t="shared" si="4"/>
        <v>100</v>
      </c>
      <c r="G25" s="39">
        <v>1</v>
      </c>
      <c r="H25" s="39">
        <v>6</v>
      </c>
      <c r="I25" s="35">
        <v>600</v>
      </c>
      <c r="J25" s="45">
        <v>8.64</v>
      </c>
      <c r="K25" s="44">
        <f>SUM(J25*F25)</f>
        <v>864</v>
      </c>
      <c r="L25" s="45">
        <v>9.9</v>
      </c>
      <c r="M25" s="44">
        <f t="shared" si="9"/>
        <v>990</v>
      </c>
      <c r="N25" s="25">
        <v>0.8</v>
      </c>
      <c r="O25" s="25">
        <v>0.42</v>
      </c>
      <c r="P25" s="32">
        <v>0.23</v>
      </c>
      <c r="Q25" s="32">
        <f t="shared" si="8"/>
        <v>7.7280000000000001E-2</v>
      </c>
      <c r="R25" s="33">
        <f t="shared" si="3"/>
        <v>7.7279999999999998</v>
      </c>
    </row>
    <row r="26" spans="1:18">
      <c r="A26" s="39"/>
      <c r="B26" s="26"/>
      <c r="C26" s="26"/>
      <c r="D26" s="26"/>
      <c r="E26" s="39"/>
      <c r="F26" s="28"/>
      <c r="G26" s="39"/>
      <c r="H26" s="39"/>
      <c r="I26" s="35"/>
      <c r="J26" s="35"/>
      <c r="K26" s="35"/>
      <c r="L26" s="35"/>
      <c r="M26" s="35"/>
      <c r="Q26" s="32"/>
      <c r="R26" s="33"/>
    </row>
    <row r="27" spans="1:18">
      <c r="A27" s="39">
        <v>40125</v>
      </c>
      <c r="B27" s="26" t="s">
        <v>110</v>
      </c>
      <c r="C27" s="26" t="s">
        <v>91</v>
      </c>
      <c r="D27" s="26" t="s">
        <v>111</v>
      </c>
      <c r="E27" s="39" t="s">
        <v>34</v>
      </c>
      <c r="F27" s="28">
        <f t="shared" si="4"/>
        <v>6</v>
      </c>
      <c r="G27" s="39">
        <v>1</v>
      </c>
      <c r="H27" s="39">
        <v>12</v>
      </c>
      <c r="I27" s="35">
        <v>72</v>
      </c>
      <c r="J27" s="28">
        <v>9.01</v>
      </c>
      <c r="K27" s="31">
        <f>J27*F27</f>
        <v>54.06</v>
      </c>
      <c r="L27" s="31">
        <v>9.93</v>
      </c>
      <c r="M27" s="31">
        <f>SUM(L27*F27)</f>
        <v>59.58</v>
      </c>
      <c r="N27" s="35">
        <v>0.61</v>
      </c>
      <c r="O27" s="35">
        <v>0.42</v>
      </c>
      <c r="P27" s="32">
        <v>0.18</v>
      </c>
      <c r="Q27" s="32">
        <f t="shared" si="8"/>
        <v>4.6115999999999997E-2</v>
      </c>
      <c r="R27" s="33">
        <f t="shared" si="3"/>
        <v>0.276696</v>
      </c>
    </row>
    <row r="28" spans="1:18">
      <c r="A28" s="39">
        <v>40126</v>
      </c>
      <c r="B28" s="26" t="s">
        <v>112</v>
      </c>
      <c r="C28" s="26" t="s">
        <v>91</v>
      </c>
      <c r="D28" s="38" t="s">
        <v>41</v>
      </c>
      <c r="E28" s="39" t="s">
        <v>35</v>
      </c>
      <c r="F28" s="28">
        <f t="shared" si="4"/>
        <v>4</v>
      </c>
      <c r="G28" s="39">
        <v>1</v>
      </c>
      <c r="H28" s="39">
        <v>12</v>
      </c>
      <c r="I28" s="35">
        <v>48</v>
      </c>
      <c r="J28" s="28">
        <v>9.01</v>
      </c>
      <c r="K28" s="31">
        <f>J28*F28</f>
        <v>36.04</v>
      </c>
      <c r="L28" s="31">
        <v>9.93</v>
      </c>
      <c r="M28" s="31">
        <f>SUM(L28*F28)</f>
        <v>39.72</v>
      </c>
      <c r="N28" s="35">
        <v>0.61</v>
      </c>
      <c r="O28" s="35">
        <v>0.42</v>
      </c>
      <c r="P28" s="32">
        <v>0.18</v>
      </c>
      <c r="Q28" s="32">
        <f t="shared" si="8"/>
        <v>4.6115999999999997E-2</v>
      </c>
      <c r="R28" s="33">
        <f t="shared" si="3"/>
        <v>0.18446399999999999</v>
      </c>
    </row>
    <row r="29" spans="1:18">
      <c r="A29" s="39">
        <v>40129</v>
      </c>
      <c r="B29" s="26" t="s">
        <v>113</v>
      </c>
      <c r="C29" s="26" t="s">
        <v>91</v>
      </c>
      <c r="D29" s="26"/>
      <c r="E29" s="39" t="s">
        <v>36</v>
      </c>
      <c r="F29" s="28">
        <f t="shared" si="4"/>
        <v>6</v>
      </c>
      <c r="G29" s="39">
        <v>1</v>
      </c>
      <c r="H29" s="39">
        <v>12</v>
      </c>
      <c r="I29" s="35">
        <v>72</v>
      </c>
      <c r="J29" s="28">
        <v>9.01</v>
      </c>
      <c r="K29" s="31">
        <f>J29*F29</f>
        <v>54.06</v>
      </c>
      <c r="L29" s="31">
        <v>9.93</v>
      </c>
      <c r="M29" s="31">
        <f>SUM(L29*F29)</f>
        <v>59.58</v>
      </c>
      <c r="N29" s="35">
        <v>0.61</v>
      </c>
      <c r="O29" s="35">
        <v>0.42</v>
      </c>
      <c r="P29" s="32">
        <v>0.18</v>
      </c>
      <c r="Q29" s="32">
        <f t="shared" si="8"/>
        <v>4.6115999999999997E-2</v>
      </c>
      <c r="R29" s="33">
        <f t="shared" si="3"/>
        <v>0.276696</v>
      </c>
    </row>
    <row r="30" spans="1:18">
      <c r="A30" s="39"/>
      <c r="B30" s="26"/>
      <c r="C30" s="26"/>
      <c r="D30" s="26"/>
      <c r="E30" s="39"/>
      <c r="F30" s="28"/>
      <c r="G30" s="39"/>
      <c r="H30" s="39"/>
      <c r="I30" s="35"/>
      <c r="J30" s="28"/>
      <c r="K30" s="31"/>
      <c r="L30" s="31"/>
      <c r="M30" s="31"/>
      <c r="N30" s="35"/>
      <c r="O30" s="35"/>
      <c r="P30" s="32"/>
      <c r="Q30" s="32"/>
      <c r="R30" s="33"/>
    </row>
    <row r="31" spans="1:18">
      <c r="A31" s="39">
        <v>44215</v>
      </c>
      <c r="B31" s="26" t="s">
        <v>110</v>
      </c>
      <c r="C31" s="26" t="s">
        <v>91</v>
      </c>
      <c r="D31" s="26" t="s">
        <v>114</v>
      </c>
      <c r="E31" s="39" t="s">
        <v>47</v>
      </c>
      <c r="F31" s="28">
        <f t="shared" ref="F31:F33" si="10">SUM(I31/H31)</f>
        <v>3</v>
      </c>
      <c r="G31" s="39">
        <v>1</v>
      </c>
      <c r="H31" s="39">
        <v>24</v>
      </c>
      <c r="I31" s="35">
        <v>72</v>
      </c>
      <c r="J31" s="25">
        <v>9.8000000000000007</v>
      </c>
      <c r="K31" s="25">
        <f t="shared" ref="K31:K33" si="11">F31*J31</f>
        <v>29.400000000000002</v>
      </c>
      <c r="L31" s="25">
        <v>10.8</v>
      </c>
      <c r="M31" s="25">
        <f t="shared" ref="M31:M33" si="12">L31*F31</f>
        <v>32.400000000000006</v>
      </c>
      <c r="N31" s="35">
        <v>0.61</v>
      </c>
      <c r="O31" s="35">
        <v>0.42</v>
      </c>
      <c r="P31" s="32">
        <v>0.28000000000000003</v>
      </c>
      <c r="Q31" s="32">
        <f t="shared" ref="Q31:Q33" si="13">N31*O31*P31</f>
        <v>7.1736000000000008E-2</v>
      </c>
      <c r="R31" s="33">
        <f t="shared" ref="R31:R33" si="14">Q31*F31</f>
        <v>0.21520800000000001</v>
      </c>
    </row>
    <row r="32" spans="1:18">
      <c r="A32" s="39">
        <v>44217</v>
      </c>
      <c r="B32" s="26" t="s">
        <v>115</v>
      </c>
      <c r="C32" s="26" t="s">
        <v>91</v>
      </c>
      <c r="D32" s="85" t="s">
        <v>42</v>
      </c>
      <c r="E32" s="39" t="s">
        <v>48</v>
      </c>
      <c r="F32" s="28">
        <f t="shared" si="10"/>
        <v>5</v>
      </c>
      <c r="G32" s="39">
        <v>1</v>
      </c>
      <c r="H32" s="39">
        <v>24</v>
      </c>
      <c r="I32" s="35">
        <v>120</v>
      </c>
      <c r="J32" s="25">
        <v>9.8000000000000007</v>
      </c>
      <c r="K32" s="25">
        <f t="shared" si="11"/>
        <v>49</v>
      </c>
      <c r="L32" s="25">
        <v>10.8</v>
      </c>
      <c r="M32" s="25">
        <f t="shared" si="12"/>
        <v>54</v>
      </c>
      <c r="N32" s="35">
        <v>0.61</v>
      </c>
      <c r="O32" s="35">
        <v>0.42</v>
      </c>
      <c r="P32" s="32">
        <v>0.28000000000000003</v>
      </c>
      <c r="Q32" s="32">
        <f t="shared" si="13"/>
        <v>7.1736000000000008E-2</v>
      </c>
      <c r="R32" s="33">
        <f t="shared" si="14"/>
        <v>0.35868000000000005</v>
      </c>
    </row>
    <row r="33" spans="1:18">
      <c r="A33" s="39">
        <v>44218</v>
      </c>
      <c r="B33" s="26" t="s">
        <v>116</v>
      </c>
      <c r="C33" s="26" t="s">
        <v>91</v>
      </c>
      <c r="D33" s="26"/>
      <c r="E33" s="39" t="s">
        <v>49</v>
      </c>
      <c r="F33" s="28">
        <f t="shared" si="10"/>
        <v>3</v>
      </c>
      <c r="G33" s="39">
        <v>1</v>
      </c>
      <c r="H33" s="39">
        <v>24</v>
      </c>
      <c r="I33" s="35">
        <v>72</v>
      </c>
      <c r="J33" s="25">
        <v>9.8000000000000007</v>
      </c>
      <c r="K33" s="25">
        <f t="shared" si="11"/>
        <v>29.400000000000002</v>
      </c>
      <c r="L33" s="25">
        <v>10.8</v>
      </c>
      <c r="M33" s="25">
        <f t="shared" si="12"/>
        <v>32.400000000000006</v>
      </c>
      <c r="N33" s="35">
        <v>0.61</v>
      </c>
      <c r="O33" s="35">
        <v>0.42</v>
      </c>
      <c r="P33" s="32">
        <v>0.28000000000000003</v>
      </c>
      <c r="Q33" s="32">
        <f t="shared" si="13"/>
        <v>7.1736000000000008E-2</v>
      </c>
      <c r="R33" s="33">
        <f t="shared" si="14"/>
        <v>0.21520800000000001</v>
      </c>
    </row>
    <row r="34" spans="1:18">
      <c r="A34" s="39"/>
      <c r="B34" s="26"/>
      <c r="C34" s="26"/>
      <c r="D34" s="26"/>
      <c r="E34" s="39"/>
      <c r="F34" s="28"/>
      <c r="G34" s="39"/>
      <c r="H34" s="39"/>
      <c r="I34" s="35"/>
      <c r="J34" s="28"/>
      <c r="K34" s="31"/>
      <c r="L34" s="31"/>
      <c r="M34" s="31"/>
      <c r="N34" s="35"/>
      <c r="O34" s="35"/>
      <c r="P34" s="32"/>
      <c r="Q34" s="32"/>
      <c r="R34" s="33"/>
    </row>
    <row r="35" spans="1:18">
      <c r="A35" s="39">
        <v>67652</v>
      </c>
      <c r="B35" s="26" t="s">
        <v>102</v>
      </c>
      <c r="C35" s="26" t="s">
        <v>91</v>
      </c>
      <c r="D35" s="26" t="s">
        <v>21</v>
      </c>
      <c r="E35" s="39" t="s">
        <v>50</v>
      </c>
      <c r="F35" s="28">
        <v>14</v>
      </c>
      <c r="G35" s="39">
        <v>4</v>
      </c>
      <c r="H35" s="39">
        <v>6</v>
      </c>
      <c r="I35" s="35">
        <v>336</v>
      </c>
      <c r="J35" s="25">
        <v>7.83</v>
      </c>
      <c r="K35" s="25">
        <f t="shared" ref="K35:K36" si="15">SUM(J35*F35)</f>
        <v>109.62</v>
      </c>
      <c r="L35" s="25">
        <v>8.6999999999999993</v>
      </c>
      <c r="M35" s="25">
        <f t="shared" ref="M35:M36" si="16">SUM(L35*F35)</f>
        <v>121.79999999999998</v>
      </c>
      <c r="N35" s="35">
        <v>0.61</v>
      </c>
      <c r="O35" s="25">
        <v>0.42</v>
      </c>
      <c r="P35" s="83">
        <v>0.19</v>
      </c>
      <c r="Q35" s="32">
        <f t="shared" ref="Q35:Q36" si="17">SUM(N35*O35*P35)</f>
        <v>4.8677999999999999E-2</v>
      </c>
      <c r="R35" s="33">
        <f t="shared" ref="R35:R36" si="18">Q35*F35</f>
        <v>0.68149199999999999</v>
      </c>
    </row>
    <row r="36" spans="1:18" ht="14.4">
      <c r="A36" s="39">
        <v>67653</v>
      </c>
      <c r="B36" s="26" t="s">
        <v>99</v>
      </c>
      <c r="C36" s="26" t="s">
        <v>91</v>
      </c>
      <c r="D36" s="86" t="s">
        <v>43</v>
      </c>
      <c r="E36" s="39" t="s">
        <v>51</v>
      </c>
      <c r="F36" s="28">
        <v>7</v>
      </c>
      <c r="G36" s="39">
        <v>4</v>
      </c>
      <c r="H36" s="39">
        <v>6</v>
      </c>
      <c r="I36" s="35">
        <v>168</v>
      </c>
      <c r="J36" s="25">
        <v>7.83</v>
      </c>
      <c r="K36" s="25">
        <f t="shared" si="15"/>
        <v>54.81</v>
      </c>
      <c r="L36" s="25">
        <v>8.6999999999999993</v>
      </c>
      <c r="M36" s="25">
        <f t="shared" si="16"/>
        <v>60.899999999999991</v>
      </c>
      <c r="N36" s="35">
        <v>0.61</v>
      </c>
      <c r="O36" s="25">
        <v>0.42</v>
      </c>
      <c r="P36" s="83">
        <v>0.19</v>
      </c>
      <c r="Q36" s="32">
        <f t="shared" si="17"/>
        <v>4.8677999999999999E-2</v>
      </c>
      <c r="R36" s="33">
        <f t="shared" si="18"/>
        <v>0.34074599999999999</v>
      </c>
    </row>
    <row r="37" spans="1:18">
      <c r="A37" s="39"/>
      <c r="B37" s="26"/>
      <c r="C37" s="26"/>
      <c r="D37" s="26"/>
      <c r="E37" s="39"/>
      <c r="F37" s="28"/>
      <c r="G37" s="39"/>
      <c r="H37" s="39"/>
      <c r="I37" s="35"/>
      <c r="J37" s="25"/>
      <c r="K37" s="25"/>
      <c r="L37" s="25"/>
      <c r="M37" s="25"/>
      <c r="N37" s="35"/>
      <c r="O37" s="25"/>
      <c r="P37" s="83"/>
      <c r="Q37" s="32"/>
      <c r="R37" s="33"/>
    </row>
    <row r="38" spans="1:18">
      <c r="A38" s="39">
        <v>33955</v>
      </c>
      <c r="B38" s="26" t="s">
        <v>105</v>
      </c>
      <c r="C38" s="26" t="s">
        <v>91</v>
      </c>
      <c r="D38" s="26" t="s">
        <v>22</v>
      </c>
      <c r="E38" s="39" t="s">
        <v>52</v>
      </c>
      <c r="F38" s="28">
        <v>7</v>
      </c>
      <c r="G38" s="39">
        <v>4</v>
      </c>
      <c r="H38" s="39">
        <v>6</v>
      </c>
      <c r="I38" s="35">
        <v>168</v>
      </c>
      <c r="J38" s="28">
        <v>7.15</v>
      </c>
      <c r="K38" s="25">
        <f t="shared" ref="K38:K39" si="19">F38*J38</f>
        <v>50.050000000000004</v>
      </c>
      <c r="L38" s="31">
        <v>8.07</v>
      </c>
      <c r="M38" s="25">
        <f t="shared" ref="M38:M39" si="20">L38*F38</f>
        <v>56.49</v>
      </c>
      <c r="N38" s="35">
        <v>0.61</v>
      </c>
      <c r="O38" s="35">
        <v>0.42</v>
      </c>
      <c r="P38" s="32">
        <v>0.18</v>
      </c>
      <c r="Q38" s="32">
        <f t="shared" ref="Q38:Q39" si="21">N38*O38*P38</f>
        <v>4.6115999999999997E-2</v>
      </c>
      <c r="R38" s="33">
        <f t="shared" ref="R38:R39" si="22">Q38*F38</f>
        <v>0.32281199999999999</v>
      </c>
    </row>
    <row r="39" spans="1:18" ht="14.4">
      <c r="A39" s="39">
        <v>33956</v>
      </c>
      <c r="B39" s="26" t="s">
        <v>106</v>
      </c>
      <c r="C39" s="26" t="s">
        <v>91</v>
      </c>
      <c r="D39" s="86" t="s">
        <v>44</v>
      </c>
      <c r="E39" s="39" t="s">
        <v>53</v>
      </c>
      <c r="F39" s="28">
        <v>6</v>
      </c>
      <c r="G39" s="39">
        <v>4</v>
      </c>
      <c r="H39" s="39">
        <v>6</v>
      </c>
      <c r="I39" s="35">
        <v>144</v>
      </c>
      <c r="J39" s="28">
        <v>7.15</v>
      </c>
      <c r="K39" s="25">
        <f t="shared" si="19"/>
        <v>42.900000000000006</v>
      </c>
      <c r="L39" s="31">
        <v>8.07</v>
      </c>
      <c r="M39" s="25">
        <f t="shared" si="20"/>
        <v>48.42</v>
      </c>
      <c r="N39" s="35">
        <v>0.61</v>
      </c>
      <c r="O39" s="35">
        <v>0.42</v>
      </c>
      <c r="P39" s="32">
        <v>0.18</v>
      </c>
      <c r="Q39" s="32">
        <f t="shared" si="21"/>
        <v>4.6115999999999997E-2</v>
      </c>
      <c r="R39" s="33">
        <f t="shared" si="22"/>
        <v>0.276696</v>
      </c>
    </row>
    <row r="40" spans="1:18">
      <c r="A40" s="39"/>
      <c r="B40" s="26"/>
      <c r="C40" s="26"/>
      <c r="D40" s="26"/>
      <c r="E40" s="39"/>
      <c r="F40" s="28"/>
      <c r="G40" s="39"/>
      <c r="H40" s="39"/>
      <c r="I40" s="35"/>
      <c r="J40" s="28"/>
      <c r="K40" s="31"/>
      <c r="L40" s="31"/>
      <c r="M40" s="31"/>
      <c r="N40" s="35"/>
      <c r="O40" s="35"/>
      <c r="P40" s="32"/>
      <c r="Q40" s="35"/>
      <c r="R40" s="33"/>
    </row>
    <row r="41" spans="1:18" ht="14.4">
      <c r="A41" s="52">
        <v>15501</v>
      </c>
      <c r="B41" s="47" t="s">
        <v>105</v>
      </c>
      <c r="C41" s="47" t="s">
        <v>117</v>
      </c>
      <c r="D41" s="48" t="s">
        <v>118</v>
      </c>
      <c r="E41" s="39" t="s">
        <v>144</v>
      </c>
      <c r="F41" s="28">
        <f t="shared" ref="F41:F43" si="23">SUM(I41/H41)</f>
        <v>24</v>
      </c>
      <c r="G41" s="39">
        <v>1</v>
      </c>
      <c r="H41" s="39">
        <v>6</v>
      </c>
      <c r="I41" s="47">
        <v>144</v>
      </c>
      <c r="J41" s="45">
        <v>8.64</v>
      </c>
      <c r="K41" s="49">
        <f>SUM(J41*F41)</f>
        <v>207.36</v>
      </c>
      <c r="L41" s="45">
        <v>9.9</v>
      </c>
      <c r="M41" s="49">
        <f>SUM(L41*F41)</f>
        <v>237.60000000000002</v>
      </c>
      <c r="N41" s="53">
        <v>0.8</v>
      </c>
      <c r="O41" s="53">
        <v>0.42</v>
      </c>
      <c r="P41" s="50">
        <v>0.23</v>
      </c>
      <c r="Q41" s="50">
        <f t="shared" ref="Q41:Q43" si="24">N41*O41*P41</f>
        <v>7.7280000000000001E-2</v>
      </c>
      <c r="R41" s="51">
        <f t="shared" ref="R41:R43" si="25">Q41*F41</f>
        <v>1.8547199999999999</v>
      </c>
    </row>
    <row r="42" spans="1:18" ht="14.4">
      <c r="A42" s="52" t="s">
        <v>108</v>
      </c>
      <c r="B42" s="47" t="s">
        <v>106</v>
      </c>
      <c r="C42" s="47" t="s">
        <v>117</v>
      </c>
      <c r="D42" s="84" t="s">
        <v>40</v>
      </c>
      <c r="E42" s="39" t="s">
        <v>54</v>
      </c>
      <c r="F42" s="28">
        <f t="shared" si="23"/>
        <v>230</v>
      </c>
      <c r="G42" s="39">
        <v>1</v>
      </c>
      <c r="H42" s="39">
        <v>6</v>
      </c>
      <c r="I42" s="47">
        <v>1380</v>
      </c>
      <c r="J42" s="45">
        <v>8.64</v>
      </c>
      <c r="K42" s="49">
        <f>SUM(J42*F42)</f>
        <v>1987.2</v>
      </c>
      <c r="L42" s="45">
        <v>9.9</v>
      </c>
      <c r="M42" s="49">
        <f t="shared" ref="M42:M43" si="26">SUM(L42*F42)</f>
        <v>2277</v>
      </c>
      <c r="N42" s="53">
        <v>0.8</v>
      </c>
      <c r="O42" s="53">
        <v>0.42</v>
      </c>
      <c r="P42" s="50">
        <v>0.23</v>
      </c>
      <c r="Q42" s="50">
        <f t="shared" si="24"/>
        <v>7.7280000000000001E-2</v>
      </c>
      <c r="R42" s="51">
        <f t="shared" si="25"/>
        <v>17.7744</v>
      </c>
    </row>
    <row r="43" spans="1:18" ht="14.4">
      <c r="A43" s="52">
        <v>15505</v>
      </c>
      <c r="B43" s="47" t="s">
        <v>109</v>
      </c>
      <c r="C43" s="47" t="s">
        <v>117</v>
      </c>
      <c r="D43" s="48"/>
      <c r="E43" s="39" t="s">
        <v>55</v>
      </c>
      <c r="F43" s="28">
        <f t="shared" si="23"/>
        <v>120</v>
      </c>
      <c r="G43" s="39">
        <v>1</v>
      </c>
      <c r="H43" s="39">
        <v>6</v>
      </c>
      <c r="I43" s="47">
        <v>720</v>
      </c>
      <c r="J43" s="45">
        <v>8.64</v>
      </c>
      <c r="K43" s="49">
        <f>SUM(J43*F43)</f>
        <v>1036.8000000000002</v>
      </c>
      <c r="L43" s="45">
        <v>9.9</v>
      </c>
      <c r="M43" s="49">
        <f t="shared" si="26"/>
        <v>1188</v>
      </c>
      <c r="N43" s="53">
        <v>0.8</v>
      </c>
      <c r="O43" s="53">
        <v>0.42</v>
      </c>
      <c r="P43" s="50">
        <v>0.23</v>
      </c>
      <c r="Q43" s="50">
        <f t="shared" si="24"/>
        <v>7.7280000000000001E-2</v>
      </c>
      <c r="R43" s="51">
        <f t="shared" si="25"/>
        <v>9.2736000000000001</v>
      </c>
    </row>
    <row r="44" spans="1:18">
      <c r="A44" s="39"/>
      <c r="B44" s="26"/>
      <c r="C44" s="26"/>
      <c r="D44" s="26"/>
      <c r="E44" s="39"/>
      <c r="F44" s="28"/>
      <c r="G44" s="39"/>
      <c r="H44" s="39"/>
      <c r="I44" s="35"/>
      <c r="J44" s="25"/>
      <c r="K44" s="25"/>
      <c r="L44" s="25"/>
      <c r="M44" s="25"/>
      <c r="N44" s="35"/>
      <c r="O44" s="35"/>
      <c r="P44" s="32"/>
      <c r="Q44" s="35"/>
      <c r="R44" s="33"/>
    </row>
    <row r="45" spans="1:18" ht="14.4">
      <c r="A45" s="52">
        <v>44215</v>
      </c>
      <c r="B45" s="47" t="s">
        <v>119</v>
      </c>
      <c r="C45" s="47" t="s">
        <v>117</v>
      </c>
      <c r="D45" s="48" t="s">
        <v>120</v>
      </c>
      <c r="E45" s="39" t="s">
        <v>56</v>
      </c>
      <c r="F45" s="28">
        <f t="shared" ref="F45:F48" si="27">SUM(I45/H45)</f>
        <v>3</v>
      </c>
      <c r="G45" s="39">
        <v>1</v>
      </c>
      <c r="H45" s="39">
        <v>24</v>
      </c>
      <c r="I45" s="47">
        <v>72</v>
      </c>
      <c r="J45" s="53">
        <v>9.8000000000000007</v>
      </c>
      <c r="K45" s="25">
        <f t="shared" ref="K45:K48" si="28">F45*J45</f>
        <v>29.400000000000002</v>
      </c>
      <c r="L45" s="53">
        <v>10.8</v>
      </c>
      <c r="M45" s="53">
        <f t="shared" ref="M45:M48" si="29">L45*F45</f>
        <v>32.400000000000006</v>
      </c>
      <c r="N45" s="35">
        <v>0.61</v>
      </c>
      <c r="O45" s="35">
        <v>0.42</v>
      </c>
      <c r="P45" s="50">
        <v>0.28000000000000003</v>
      </c>
      <c r="Q45" s="50">
        <f t="shared" ref="Q45:Q48" si="30">N45*O45*P45</f>
        <v>7.1736000000000008E-2</v>
      </c>
      <c r="R45" s="51">
        <f t="shared" ref="R45:R48" si="31">Q45*F45</f>
        <v>0.21520800000000001</v>
      </c>
    </row>
    <row r="46" spans="1:18" ht="14.4">
      <c r="A46" s="52">
        <v>44216</v>
      </c>
      <c r="B46" s="47" t="s">
        <v>121</v>
      </c>
      <c r="C46" s="47" t="s">
        <v>117</v>
      </c>
      <c r="D46" s="85" t="s">
        <v>42</v>
      </c>
      <c r="E46" s="39" t="s">
        <v>57</v>
      </c>
      <c r="F46" s="28">
        <f t="shared" si="27"/>
        <v>5</v>
      </c>
      <c r="G46" s="39">
        <v>1</v>
      </c>
      <c r="H46" s="39">
        <v>24</v>
      </c>
      <c r="I46" s="47">
        <v>120</v>
      </c>
      <c r="J46" s="53">
        <v>9.8000000000000007</v>
      </c>
      <c r="K46" s="25">
        <f t="shared" si="28"/>
        <v>49</v>
      </c>
      <c r="L46" s="53">
        <v>10.8</v>
      </c>
      <c r="M46" s="53">
        <f t="shared" si="29"/>
        <v>54</v>
      </c>
      <c r="N46" s="35">
        <v>0.61</v>
      </c>
      <c r="O46" s="35">
        <v>0.42</v>
      </c>
      <c r="P46" s="50">
        <v>0.28000000000000003</v>
      </c>
      <c r="Q46" s="50">
        <f t="shared" si="30"/>
        <v>7.1736000000000008E-2</v>
      </c>
      <c r="R46" s="51">
        <f t="shared" si="31"/>
        <v>0.35868000000000005</v>
      </c>
    </row>
    <row r="47" spans="1:18" ht="14.4">
      <c r="A47" s="52">
        <v>44217</v>
      </c>
      <c r="B47" s="47" t="s">
        <v>122</v>
      </c>
      <c r="C47" s="47" t="s">
        <v>117</v>
      </c>
      <c r="D47" s="48"/>
      <c r="E47" s="39" t="s">
        <v>58</v>
      </c>
      <c r="F47" s="28">
        <f t="shared" si="27"/>
        <v>5</v>
      </c>
      <c r="G47" s="39">
        <v>1</v>
      </c>
      <c r="H47" s="39">
        <v>24</v>
      </c>
      <c r="I47" s="47">
        <v>120</v>
      </c>
      <c r="J47" s="25">
        <v>9.8000000000000007</v>
      </c>
      <c r="K47" s="25">
        <f t="shared" si="28"/>
        <v>49</v>
      </c>
      <c r="L47" s="53">
        <v>10.8</v>
      </c>
      <c r="M47" s="53">
        <f t="shared" si="29"/>
        <v>54</v>
      </c>
      <c r="N47" s="35">
        <v>0.61</v>
      </c>
      <c r="O47" s="35">
        <v>0.42</v>
      </c>
      <c r="P47" s="50">
        <v>0.28000000000000003</v>
      </c>
      <c r="Q47" s="50">
        <f t="shared" si="30"/>
        <v>7.1736000000000008E-2</v>
      </c>
      <c r="R47" s="51">
        <f t="shared" si="31"/>
        <v>0.35868000000000005</v>
      </c>
    </row>
    <row r="48" spans="1:18" ht="14.4">
      <c r="A48" s="52">
        <v>44218</v>
      </c>
      <c r="B48" s="47" t="s">
        <v>123</v>
      </c>
      <c r="C48" s="47" t="s">
        <v>117</v>
      </c>
      <c r="D48" s="48"/>
      <c r="E48" s="39" t="s">
        <v>59</v>
      </c>
      <c r="F48" s="28">
        <f t="shared" si="27"/>
        <v>4</v>
      </c>
      <c r="G48" s="39">
        <v>1</v>
      </c>
      <c r="H48" s="39">
        <v>24</v>
      </c>
      <c r="I48" s="47">
        <v>96</v>
      </c>
      <c r="J48" s="25">
        <v>9.8000000000000007</v>
      </c>
      <c r="K48" s="25">
        <f t="shared" si="28"/>
        <v>39.200000000000003</v>
      </c>
      <c r="L48" s="53">
        <v>10.8</v>
      </c>
      <c r="M48" s="53">
        <f t="shared" si="29"/>
        <v>43.2</v>
      </c>
      <c r="N48" s="35">
        <v>0.61</v>
      </c>
      <c r="O48" s="35">
        <v>0.42</v>
      </c>
      <c r="P48" s="50">
        <v>0.28000000000000003</v>
      </c>
      <c r="Q48" s="50">
        <f t="shared" si="30"/>
        <v>7.1736000000000008E-2</v>
      </c>
      <c r="R48" s="51">
        <f t="shared" si="31"/>
        <v>0.28694400000000003</v>
      </c>
    </row>
    <row r="49" spans="1:18" ht="14.4">
      <c r="A49" s="52"/>
      <c r="B49" s="47"/>
      <c r="C49" s="47"/>
      <c r="D49" s="48"/>
      <c r="E49" s="39"/>
      <c r="F49" s="28"/>
      <c r="G49" s="39"/>
      <c r="H49" s="39"/>
      <c r="I49" s="47"/>
      <c r="J49" s="28"/>
      <c r="K49" s="31"/>
      <c r="L49" s="31"/>
      <c r="M49" s="31"/>
      <c r="N49" s="35"/>
      <c r="O49" s="35"/>
      <c r="P49" s="32"/>
      <c r="Q49" s="32"/>
      <c r="R49" s="33"/>
    </row>
    <row r="50" spans="1:18">
      <c r="A50" s="26"/>
      <c r="B50" s="39"/>
      <c r="C50" s="39"/>
      <c r="D50" s="26"/>
      <c r="E50" s="39"/>
      <c r="F50" s="54">
        <f>SUM(F12:F49)</f>
        <v>855</v>
      </c>
      <c r="G50" s="39"/>
      <c r="H50" s="39"/>
      <c r="I50" s="54">
        <f>SUM(I12:I49)</f>
        <v>7404</v>
      </c>
      <c r="J50" s="35"/>
      <c r="K50" s="55">
        <f>SUM(K12:K49)</f>
        <v>7440.94</v>
      </c>
      <c r="L50" s="35"/>
      <c r="M50" s="55">
        <f>SUM(M12:M49)</f>
        <v>8991.14</v>
      </c>
      <c r="N50" s="30"/>
      <c r="O50" s="31"/>
      <c r="P50" s="28"/>
      <c r="Q50" s="32"/>
      <c r="R50" s="55">
        <f>SUM(R12:R49)</f>
        <v>64.707048000000015</v>
      </c>
    </row>
  </sheetData>
  <phoneticPr fontId="14" type="noConversion"/>
  <pageMargins left="0.70866141732283472" right="0.70866141732283472" top="0.74803149606299213" bottom="0.74803149606299213" header="0.31496062992125984" footer="0.31496062992125984"/>
  <pageSetup paperSize="9" scale="65" orientation="landscape" horizontalDpi="1200" verticalDpi="1200" r:id="rId1"/>
  <rowBreaks count="1" manualBreakCount="1">
    <brk id="57" max="17" man="1"/>
  </rowBreaks>
  <drawing r:id="rId2"/>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B1:G39"/>
  <sheetViews>
    <sheetView workbookViewId="0">
      <selection activeCell="B1" sqref="B1:G39"/>
    </sheetView>
  </sheetViews>
  <sheetFormatPr defaultRowHeight="14.4"/>
  <sheetData>
    <row r="1" spans="2:7">
      <c r="B1" s="25" t="e">
        <f>SUM(A1*#REF!)</f>
        <v>#REF!</v>
      </c>
      <c r="C1" s="30">
        <v>0.62</v>
      </c>
      <c r="D1" s="31">
        <v>0.42</v>
      </c>
      <c r="E1" s="28">
        <v>0.18</v>
      </c>
      <c r="F1" s="32">
        <f>C1*D1*E1</f>
        <v>4.687199999999999E-2</v>
      </c>
      <c r="G1" s="33" t="e">
        <f>F1*#REF!</f>
        <v>#REF!</v>
      </c>
    </row>
    <row r="2" spans="2:7">
      <c r="B2" s="25"/>
      <c r="C2" s="30"/>
      <c r="D2" s="30"/>
      <c r="E2" s="28"/>
      <c r="F2" s="32"/>
      <c r="G2" s="33"/>
    </row>
    <row r="3" spans="2:7">
      <c r="B3" s="25"/>
      <c r="C3" s="30"/>
      <c r="D3" s="30"/>
      <c r="E3" s="28"/>
      <c r="F3" s="32"/>
      <c r="G3" s="33"/>
    </row>
    <row r="4" spans="2:7">
      <c r="B4" s="25" t="e">
        <f t="shared" ref="B4:B7" si="0">SUM(A4*#REF!)</f>
        <v>#REF!</v>
      </c>
      <c r="C4" s="30">
        <v>0.76</v>
      </c>
      <c r="D4" s="31">
        <v>0.42</v>
      </c>
      <c r="E4" s="28">
        <v>0.22</v>
      </c>
      <c r="F4" s="32">
        <f t="shared" ref="F4:F7" si="1">C4*D4*E4</f>
        <v>7.0223999999999995E-2</v>
      </c>
      <c r="G4" s="33" t="e">
        <f t="shared" ref="G4:G18" si="2">F4*#REF!</f>
        <v>#REF!</v>
      </c>
    </row>
    <row r="5" spans="2:7">
      <c r="B5" s="25" t="e">
        <f t="shared" ref="B5:B8" si="3">SUM(A5*#REF!)</f>
        <v>#REF!</v>
      </c>
      <c r="C5" s="30">
        <v>0.76</v>
      </c>
      <c r="D5" s="31">
        <v>0.42</v>
      </c>
      <c r="E5" s="28">
        <v>0.22</v>
      </c>
      <c r="F5" s="32">
        <f t="shared" si="1"/>
        <v>7.0223999999999995E-2</v>
      </c>
      <c r="G5" s="33" t="e">
        <f t="shared" ref="G5:G19" si="4">F5*#REF!</f>
        <v>#REF!</v>
      </c>
    </row>
    <row r="6" spans="2:7">
      <c r="B6" s="25" t="e">
        <f t="shared" ref="B6:B9" si="5">SUM(A6*#REF!)</f>
        <v>#REF!</v>
      </c>
      <c r="C6" s="30">
        <v>0.76</v>
      </c>
      <c r="D6" s="31">
        <v>0.42</v>
      </c>
      <c r="E6" s="28">
        <v>0.22</v>
      </c>
      <c r="F6" s="32">
        <f t="shared" si="1"/>
        <v>7.0223999999999995E-2</v>
      </c>
      <c r="G6" s="33" t="e">
        <f t="shared" ref="G6:G20" si="6">F6*#REF!</f>
        <v>#REF!</v>
      </c>
    </row>
    <row r="7" spans="2:7">
      <c r="B7" s="25" t="e">
        <f t="shared" ref="B7:B10" si="7">SUM(A7*#REF!)</f>
        <v>#REF!</v>
      </c>
      <c r="C7" s="30">
        <v>0.76</v>
      </c>
      <c r="D7" s="31">
        <v>0.42</v>
      </c>
      <c r="E7" s="28">
        <v>0.22</v>
      </c>
      <c r="F7" s="32">
        <f t="shared" si="1"/>
        <v>7.0223999999999995E-2</v>
      </c>
      <c r="G7" s="33" t="e">
        <f t="shared" ref="G7:G21" si="8">F7*#REF!</f>
        <v>#REF!</v>
      </c>
    </row>
    <row r="8" spans="2:7">
      <c r="B8" s="44"/>
      <c r="C8" s="30"/>
      <c r="D8" s="31"/>
      <c r="E8" s="28"/>
      <c r="F8" s="32"/>
      <c r="G8" s="33"/>
    </row>
    <row r="9" spans="2:7">
      <c r="B9" s="31" t="e">
        <f t="shared" ref="B9:B10" si="9">A9*#REF!</f>
        <v>#REF!</v>
      </c>
      <c r="C9" s="25">
        <v>0.61</v>
      </c>
      <c r="D9" s="25">
        <v>0.42</v>
      </c>
      <c r="E9" s="25">
        <v>0.43</v>
      </c>
      <c r="F9" s="32">
        <f t="shared" ref="F9:F10" si="10">C9*D9*E9</f>
        <v>0.11016599999999999</v>
      </c>
      <c r="G9" s="33" t="e">
        <f t="shared" ref="G9:G23" si="11">F9*#REF!</f>
        <v>#REF!</v>
      </c>
    </row>
    <row r="10" spans="2:7">
      <c r="B10" s="31" t="e">
        <f t="shared" ref="B10:B11" si="12">A10*#REF!</f>
        <v>#REF!</v>
      </c>
      <c r="C10" s="25">
        <v>0.61</v>
      </c>
      <c r="D10" s="25">
        <v>0.42</v>
      </c>
      <c r="E10" s="25">
        <v>0.43</v>
      </c>
      <c r="F10" s="32">
        <f t="shared" si="10"/>
        <v>0.11016599999999999</v>
      </c>
      <c r="G10" s="33" t="e">
        <f t="shared" ref="G10:G24" si="13">F10*#REF!</f>
        <v>#REF!</v>
      </c>
    </row>
    <row r="11" spans="2:7">
      <c r="B11" s="44"/>
      <c r="C11" s="25"/>
      <c r="D11" s="25"/>
      <c r="E11" s="32"/>
      <c r="F11" s="32"/>
      <c r="G11" s="33"/>
    </row>
    <row r="12" spans="2:7">
      <c r="B12" s="44" t="e">
        <f>SUM(A12*#REF!)</f>
        <v>#REF!</v>
      </c>
      <c r="C12" s="25">
        <v>0.8</v>
      </c>
      <c r="D12" s="25">
        <v>0.42</v>
      </c>
      <c r="E12" s="32">
        <v>0.23</v>
      </c>
      <c r="F12" s="32">
        <f t="shared" ref="F12:F18" si="14">C12*D12*E12</f>
        <v>7.7280000000000001E-2</v>
      </c>
      <c r="G12" s="33" t="e">
        <f t="shared" ref="G12:G26" si="15">F12*#REF!</f>
        <v>#REF!</v>
      </c>
    </row>
    <row r="13" spans="2:7">
      <c r="B13" s="44" t="e">
        <f t="shared" ref="B13:B14" si="16">SUM(A13*#REF!)</f>
        <v>#REF!</v>
      </c>
      <c r="C13" s="25">
        <v>0.8</v>
      </c>
      <c r="D13" s="25">
        <v>0.42</v>
      </c>
      <c r="E13" s="32">
        <v>0.23</v>
      </c>
      <c r="F13" s="32">
        <f t="shared" si="14"/>
        <v>7.7280000000000001E-2</v>
      </c>
      <c r="G13" s="33" t="e">
        <f t="shared" ref="G13:G27" si="17">F13*#REF!</f>
        <v>#REF!</v>
      </c>
    </row>
    <row r="14" spans="2:7">
      <c r="B14" s="44" t="e">
        <f t="shared" ref="B14:B15" si="18">SUM(A14*#REF!)</f>
        <v>#REF!</v>
      </c>
      <c r="C14" s="25">
        <v>0.8</v>
      </c>
      <c r="D14" s="25">
        <v>0.42</v>
      </c>
      <c r="E14" s="32">
        <v>0.23</v>
      </c>
      <c r="F14" s="32">
        <f t="shared" si="14"/>
        <v>7.7280000000000001E-2</v>
      </c>
      <c r="G14" s="33" t="e">
        <f t="shared" ref="G14:G28" si="19">F14*#REF!</f>
        <v>#REF!</v>
      </c>
    </row>
    <row r="15" spans="2:7">
      <c r="B15" s="35"/>
      <c r="C15" s="5"/>
      <c r="D15" s="5"/>
      <c r="E15" s="5"/>
      <c r="F15" s="32"/>
      <c r="G15" s="33"/>
    </row>
    <row r="16" spans="2:7">
      <c r="B16" s="31" t="e">
        <f>SUM(A16*#REF!)</f>
        <v>#REF!</v>
      </c>
      <c r="C16" s="35">
        <v>0.61</v>
      </c>
      <c r="D16" s="35">
        <v>0.42</v>
      </c>
      <c r="E16" s="32">
        <v>0.18</v>
      </c>
      <c r="F16" s="32">
        <f t="shared" si="14"/>
        <v>4.6115999999999997E-2</v>
      </c>
      <c r="G16" s="33" t="e">
        <f t="shared" ref="G16:G30" si="20">F16*#REF!</f>
        <v>#REF!</v>
      </c>
    </row>
    <row r="17" spans="2:7">
      <c r="B17" s="31" t="e">
        <f>SUM(A17*#REF!)</f>
        <v>#REF!</v>
      </c>
      <c r="C17" s="35">
        <v>0.61</v>
      </c>
      <c r="D17" s="35">
        <v>0.42</v>
      </c>
      <c r="E17" s="32">
        <v>0.18</v>
      </c>
      <c r="F17" s="32">
        <f t="shared" si="14"/>
        <v>4.6115999999999997E-2</v>
      </c>
      <c r="G17" s="33" t="e">
        <f t="shared" ref="G17:G31" si="21">F17*#REF!</f>
        <v>#REF!</v>
      </c>
    </row>
    <row r="18" spans="2:7">
      <c r="B18" s="31" t="e">
        <f>SUM(A18*#REF!)</f>
        <v>#REF!</v>
      </c>
      <c r="C18" s="35">
        <v>0.61</v>
      </c>
      <c r="D18" s="35">
        <v>0.42</v>
      </c>
      <c r="E18" s="32">
        <v>0.18</v>
      </c>
      <c r="F18" s="32">
        <f t="shared" si="14"/>
        <v>4.6115999999999997E-2</v>
      </c>
      <c r="G18" s="33" t="e">
        <f t="shared" ref="G18:G32" si="22">F18*#REF!</f>
        <v>#REF!</v>
      </c>
    </row>
    <row r="19" spans="2:7">
      <c r="B19" s="31"/>
      <c r="C19" s="35"/>
      <c r="D19" s="35"/>
      <c r="E19" s="32"/>
      <c r="F19" s="32"/>
      <c r="G19" s="33"/>
    </row>
    <row r="20" spans="2:7">
      <c r="B20" s="25" t="e">
        <f t="shared" ref="B20:B22" si="23">A20*#REF!</f>
        <v>#REF!</v>
      </c>
      <c r="C20" s="35">
        <v>0.61</v>
      </c>
      <c r="D20" s="35">
        <v>0.42</v>
      </c>
      <c r="E20" s="32">
        <v>0.28000000000000003</v>
      </c>
      <c r="F20" s="32">
        <f t="shared" ref="F20:F22" si="24">C20*D20*E20</f>
        <v>7.1736000000000008E-2</v>
      </c>
      <c r="G20" s="33" t="e">
        <f t="shared" ref="G20:G22" si="25">F20*#REF!</f>
        <v>#REF!</v>
      </c>
    </row>
    <row r="21" spans="2:7">
      <c r="B21" s="25" t="e">
        <f t="shared" ref="B21:B23" si="26">A21*#REF!</f>
        <v>#REF!</v>
      </c>
      <c r="C21" s="35">
        <v>0.61</v>
      </c>
      <c r="D21" s="35">
        <v>0.42</v>
      </c>
      <c r="E21" s="32">
        <v>0.28000000000000003</v>
      </c>
      <c r="F21" s="32">
        <f t="shared" si="24"/>
        <v>7.1736000000000008E-2</v>
      </c>
      <c r="G21" s="33" t="e">
        <f t="shared" ref="G21:G23" si="27">F21*#REF!</f>
        <v>#REF!</v>
      </c>
    </row>
    <row r="22" spans="2:7">
      <c r="B22" s="25" t="e">
        <f t="shared" ref="B22:B24" si="28">A22*#REF!</f>
        <v>#REF!</v>
      </c>
      <c r="C22" s="35">
        <v>0.61</v>
      </c>
      <c r="D22" s="35">
        <v>0.42</v>
      </c>
      <c r="E22" s="32">
        <v>0.28000000000000003</v>
      </c>
      <c r="F22" s="32">
        <f t="shared" si="24"/>
        <v>7.1736000000000008E-2</v>
      </c>
      <c r="G22" s="33" t="e">
        <f t="shared" ref="G22:G24" si="29">F22*#REF!</f>
        <v>#REF!</v>
      </c>
    </row>
    <row r="23" spans="2:7">
      <c r="B23" s="31"/>
      <c r="C23" s="35"/>
      <c r="D23" s="35"/>
      <c r="E23" s="32"/>
      <c r="F23" s="32"/>
      <c r="G23" s="33"/>
    </row>
    <row r="24" spans="2:7">
      <c r="B24" s="25" t="e">
        <f t="shared" ref="B24:B25" si="30">SUM(A24*#REF!)</f>
        <v>#REF!</v>
      </c>
      <c r="C24" s="35">
        <v>0.61</v>
      </c>
      <c r="D24" s="25">
        <v>0.42</v>
      </c>
      <c r="E24" s="83">
        <v>0.19</v>
      </c>
      <c r="F24" s="32">
        <f t="shared" ref="F24:F25" si="31">SUM(C24*D24*E24)</f>
        <v>4.8677999999999999E-2</v>
      </c>
      <c r="G24" s="33" t="e">
        <f t="shared" ref="G24:G25" si="32">F24*#REF!</f>
        <v>#REF!</v>
      </c>
    </row>
    <row r="25" spans="2:7">
      <c r="B25" s="25" t="e">
        <f t="shared" ref="B25:B26" si="33">SUM(A25*#REF!)</f>
        <v>#REF!</v>
      </c>
      <c r="C25" s="35">
        <v>0.61</v>
      </c>
      <c r="D25" s="25">
        <v>0.42</v>
      </c>
      <c r="E25" s="83">
        <v>0.19</v>
      </c>
      <c r="F25" s="32">
        <f t="shared" si="31"/>
        <v>4.8677999999999999E-2</v>
      </c>
      <c r="G25" s="33" t="e">
        <f t="shared" ref="G25:G26" si="34">F25*#REF!</f>
        <v>#REF!</v>
      </c>
    </row>
    <row r="26" spans="2:7">
      <c r="B26" s="25"/>
      <c r="C26" s="35"/>
      <c r="D26" s="25"/>
      <c r="E26" s="83"/>
      <c r="F26" s="32"/>
      <c r="G26" s="33"/>
    </row>
    <row r="27" spans="2:7">
      <c r="B27" s="25" t="e">
        <f t="shared" ref="B27:B28" si="35">A27*#REF!</f>
        <v>#REF!</v>
      </c>
      <c r="C27" s="35">
        <v>0.61</v>
      </c>
      <c r="D27" s="35">
        <v>0.42</v>
      </c>
      <c r="E27" s="32">
        <v>0.18</v>
      </c>
      <c r="F27" s="32">
        <f t="shared" ref="F27:F28" si="36">C27*D27*E27</f>
        <v>4.6115999999999997E-2</v>
      </c>
      <c r="G27" s="33" t="e">
        <f t="shared" ref="G27:G28" si="37">F27*#REF!</f>
        <v>#REF!</v>
      </c>
    </row>
    <row r="28" spans="2:7">
      <c r="B28" s="25" t="e">
        <f t="shared" ref="B28:B29" si="38">A28*#REF!</f>
        <v>#REF!</v>
      </c>
      <c r="C28" s="35">
        <v>0.61</v>
      </c>
      <c r="D28" s="35">
        <v>0.42</v>
      </c>
      <c r="E28" s="32">
        <v>0.18</v>
      </c>
      <c r="F28" s="32">
        <f t="shared" si="36"/>
        <v>4.6115999999999997E-2</v>
      </c>
      <c r="G28" s="33" t="e">
        <f t="shared" ref="G28:G29" si="39">F28*#REF!</f>
        <v>#REF!</v>
      </c>
    </row>
    <row r="29" spans="2:7">
      <c r="B29" s="31"/>
      <c r="C29" s="35"/>
      <c r="D29" s="35"/>
      <c r="E29" s="32"/>
      <c r="F29" s="35"/>
      <c r="G29" s="33"/>
    </row>
    <row r="30" spans="2:7">
      <c r="B30" s="49" t="e">
        <f>SUM(A30*#REF!)</f>
        <v>#REF!</v>
      </c>
      <c r="C30" s="53">
        <v>0.8</v>
      </c>
      <c r="D30" s="53">
        <v>0.42</v>
      </c>
      <c r="E30" s="50">
        <v>0.23</v>
      </c>
      <c r="F30" s="50">
        <f t="shared" ref="F30:F32" si="40">C30*D30*E30</f>
        <v>7.7280000000000001E-2</v>
      </c>
      <c r="G30" s="51" t="e">
        <f t="shared" ref="G30:G32" si="41">F30*#REF!</f>
        <v>#REF!</v>
      </c>
    </row>
    <row r="31" spans="2:7">
      <c r="B31" s="49" t="e">
        <f t="shared" ref="B31:B32" si="42">SUM(A31*#REF!)</f>
        <v>#REF!</v>
      </c>
      <c r="C31" s="53">
        <v>0.8</v>
      </c>
      <c r="D31" s="53">
        <v>0.42</v>
      </c>
      <c r="E31" s="50">
        <v>0.23</v>
      </c>
      <c r="F31" s="50">
        <f t="shared" si="40"/>
        <v>7.7280000000000001E-2</v>
      </c>
      <c r="G31" s="51" t="e">
        <f t="shared" ref="G31:G33" si="43">F31*#REF!</f>
        <v>#REF!</v>
      </c>
    </row>
    <row r="32" spans="2:7">
      <c r="B32" s="49" t="e">
        <f t="shared" ref="B32:B33" si="44">SUM(A32*#REF!)</f>
        <v>#REF!</v>
      </c>
      <c r="C32" s="53">
        <v>0.8</v>
      </c>
      <c r="D32" s="53">
        <v>0.42</v>
      </c>
      <c r="E32" s="50">
        <v>0.23</v>
      </c>
      <c r="F32" s="50">
        <f t="shared" si="40"/>
        <v>7.7280000000000001E-2</v>
      </c>
      <c r="G32" s="51" t="e">
        <f t="shared" ref="G32:G34" si="45">F32*#REF!</f>
        <v>#REF!</v>
      </c>
    </row>
    <row r="33" spans="2:7">
      <c r="B33" s="25"/>
      <c r="C33" s="35"/>
      <c r="D33" s="35"/>
      <c r="E33" s="32"/>
      <c r="F33" s="35"/>
      <c r="G33" s="33"/>
    </row>
    <row r="34" spans="2:7">
      <c r="B34" s="53" t="e">
        <f t="shared" ref="B34:B37" si="46">A34*#REF!</f>
        <v>#REF!</v>
      </c>
      <c r="C34" s="35">
        <v>0.61</v>
      </c>
      <c r="D34" s="35">
        <v>0.42</v>
      </c>
      <c r="E34" s="50">
        <v>0.28000000000000003</v>
      </c>
      <c r="F34" s="50">
        <f t="shared" ref="F34:F37" si="47">C34*D34*E34</f>
        <v>7.1736000000000008E-2</v>
      </c>
      <c r="G34" s="51" t="e">
        <f t="shared" ref="G34:G37" si="48">F34*#REF!</f>
        <v>#REF!</v>
      </c>
    </row>
    <row r="35" spans="2:7">
      <c r="B35" s="53" t="e">
        <f t="shared" ref="B35:B38" si="49">A35*#REF!</f>
        <v>#REF!</v>
      </c>
      <c r="C35" s="35">
        <v>0.61</v>
      </c>
      <c r="D35" s="35">
        <v>0.42</v>
      </c>
      <c r="E35" s="50">
        <v>0.28000000000000003</v>
      </c>
      <c r="F35" s="50">
        <f t="shared" si="47"/>
        <v>7.1736000000000008E-2</v>
      </c>
      <c r="G35" s="51" t="e">
        <f t="shared" ref="G35:G38" si="50">F35*#REF!</f>
        <v>#REF!</v>
      </c>
    </row>
    <row r="36" spans="2:7">
      <c r="B36" s="53" t="e">
        <f t="shared" ref="B36:B39" si="51">A36*#REF!</f>
        <v>#REF!</v>
      </c>
      <c r="C36" s="35">
        <v>0.61</v>
      </c>
      <c r="D36" s="35">
        <v>0.42</v>
      </c>
      <c r="E36" s="50">
        <v>0.28000000000000003</v>
      </c>
      <c r="F36" s="50">
        <f t="shared" si="47"/>
        <v>7.1736000000000008E-2</v>
      </c>
      <c r="G36" s="51" t="e">
        <f t="shared" ref="G36:G39" si="52">F36*#REF!</f>
        <v>#REF!</v>
      </c>
    </row>
    <row r="37" spans="2:7">
      <c r="B37" s="53" t="e">
        <f t="shared" ref="B37:B39" si="53">A37*#REF!</f>
        <v>#REF!</v>
      </c>
      <c r="C37" s="35">
        <v>0.61</v>
      </c>
      <c r="D37" s="35">
        <v>0.42</v>
      </c>
      <c r="E37" s="50">
        <v>0.28000000000000003</v>
      </c>
      <c r="F37" s="50">
        <f t="shared" si="47"/>
        <v>7.1736000000000008E-2</v>
      </c>
      <c r="G37" s="51" t="e">
        <f t="shared" ref="G37:G39" si="54">F37*#REF!</f>
        <v>#REF!</v>
      </c>
    </row>
    <row r="38" spans="2:7">
      <c r="B38" s="31"/>
      <c r="C38" s="35"/>
      <c r="D38" s="35"/>
      <c r="E38" s="32"/>
      <c r="F38" s="32"/>
      <c r="G38" s="33"/>
    </row>
    <row r="39" spans="2:7">
      <c r="B39" s="55" t="e">
        <f>SUM(B1:B38)</f>
        <v>#REF!</v>
      </c>
      <c r="C39" s="30"/>
      <c r="D39" s="31"/>
      <c r="E39" s="28"/>
      <c r="F39" s="32"/>
      <c r="G39" s="55" t="e">
        <f>SUM(G1:G38)</f>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Invoice</vt:lpstr>
      <vt:lpstr>Packing List</vt:lpstr>
      <vt:lpstr>Sheet1</vt:lpstr>
      <vt:lpstr>'Packing List'!Print_Area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Seadept4</cp:lastModifiedBy>
  <cp:lastPrinted>2026-03-30T08:58:46Z</cp:lastPrinted>
  <dcterms:created xsi:type="dcterms:W3CDTF">2015-06-05T18:17:20Z</dcterms:created>
  <dcterms:modified xsi:type="dcterms:W3CDTF">2026-06-04T11:20:38Z</dcterms:modified>
</cp:coreProperties>
</file>